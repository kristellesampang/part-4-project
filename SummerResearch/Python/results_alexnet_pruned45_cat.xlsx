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M\Documents\part-4-project\SummerResearch\Python\"/>
    </mc:Choice>
  </mc:AlternateContent>
  <xr:revisionPtr revIDLastSave="0" documentId="13_ncr:1_{A9EA490E-57BD-4EF6-BC91-119AFF252DDE}" xr6:coauthVersionLast="47" xr6:coauthVersionMax="47" xr10:uidLastSave="{00000000-0000-0000-0000-000000000000}"/>
  <bookViews>
    <workbookView xWindow="-120" yWindow="-120" windowWidth="29040" windowHeight="15720" activeTab="5" xr2:uid="{4D859FC6-9D89-4E09-88F3-58074A9BAC20}"/>
  </bookViews>
  <sheets>
    <sheet name="Sheet2" sheetId="3" r:id="rId1"/>
    <sheet name="Sheet6" sheetId="7" r:id="rId2"/>
    <sheet name="Sheet1" sheetId="8" r:id="rId3"/>
    <sheet name="Sheet3" sheetId="9" r:id="rId4"/>
    <sheet name="Sheet4" sheetId="10" r:id="rId5"/>
    <sheet name="results_alexnet_pruned45_cat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AB2" i="1" l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A9" i="1"/>
  <c r="AA10" i="1"/>
  <c r="AA11" i="1"/>
  <c r="AA12" i="1"/>
  <c r="AA13" i="1"/>
  <c r="AA14" i="1"/>
  <c r="AA15" i="1"/>
  <c r="AA17" i="1"/>
  <c r="AA18" i="1"/>
  <c r="AA19" i="1"/>
  <c r="AA20" i="1"/>
  <c r="AA29" i="1"/>
  <c r="AA30" i="1"/>
  <c r="AA31" i="1"/>
  <c r="AA32" i="1"/>
  <c r="AA33" i="1"/>
  <c r="AA34" i="1"/>
  <c r="AA35" i="1"/>
  <c r="AA37" i="1"/>
  <c r="AA38" i="1"/>
  <c r="AA39" i="1"/>
  <c r="AA40" i="1"/>
  <c r="AA49" i="1"/>
  <c r="AA50" i="1"/>
  <c r="AA51" i="1"/>
  <c r="AA52" i="1"/>
  <c r="AA53" i="1"/>
  <c r="AA54" i="1"/>
  <c r="AA55" i="1"/>
  <c r="AA57" i="1"/>
  <c r="AA58" i="1"/>
  <c r="AA59" i="1"/>
  <c r="AA60" i="1"/>
  <c r="AA69" i="1"/>
  <c r="AA70" i="1"/>
  <c r="AA71" i="1"/>
  <c r="AA72" i="1"/>
  <c r="AA73" i="1"/>
  <c r="AA74" i="1"/>
  <c r="AA75" i="1"/>
  <c r="AA77" i="1"/>
  <c r="AA78" i="1"/>
  <c r="AA79" i="1"/>
  <c r="AA80" i="1"/>
  <c r="AA89" i="1"/>
  <c r="AA90" i="1"/>
  <c r="AA91" i="1"/>
  <c r="AA92" i="1"/>
  <c r="AA93" i="1"/>
  <c r="AA94" i="1"/>
  <c r="AA95" i="1"/>
  <c r="AA97" i="1"/>
  <c r="AA98" i="1"/>
  <c r="AA99" i="1"/>
  <c r="AA100" i="1"/>
  <c r="AA109" i="1"/>
  <c r="AA110" i="1"/>
  <c r="AA111" i="1"/>
  <c r="AA112" i="1"/>
  <c r="AA113" i="1"/>
  <c r="AA114" i="1"/>
  <c r="AA115" i="1"/>
  <c r="AA117" i="1"/>
  <c r="AA118" i="1"/>
  <c r="AA119" i="1"/>
  <c r="AA120" i="1"/>
  <c r="AA129" i="1"/>
  <c r="AA130" i="1"/>
  <c r="AA131" i="1"/>
  <c r="AA132" i="1"/>
  <c r="AA133" i="1"/>
  <c r="AA134" i="1"/>
  <c r="AA135" i="1"/>
  <c r="AA137" i="1"/>
  <c r="AA138" i="1"/>
  <c r="AA139" i="1"/>
  <c r="AA140" i="1"/>
  <c r="AA149" i="1"/>
  <c r="AA150" i="1"/>
  <c r="AA151" i="1"/>
  <c r="AA152" i="1"/>
  <c r="AA153" i="1"/>
  <c r="AA154" i="1"/>
  <c r="AA155" i="1"/>
  <c r="AA157" i="1"/>
  <c r="AA158" i="1"/>
  <c r="AA159" i="1"/>
  <c r="AA160" i="1"/>
  <c r="AA169" i="1"/>
  <c r="AA170" i="1"/>
  <c r="AA171" i="1"/>
  <c r="AA172" i="1"/>
  <c r="AA173" i="1"/>
  <c r="AA174" i="1"/>
  <c r="AA175" i="1"/>
  <c r="AA177" i="1"/>
  <c r="AA178" i="1"/>
  <c r="AA179" i="1"/>
  <c r="AA180" i="1"/>
  <c r="AA189" i="1"/>
  <c r="AA190" i="1"/>
  <c r="AA191" i="1"/>
  <c r="AA192" i="1"/>
  <c r="AA193" i="1"/>
  <c r="AA194" i="1"/>
  <c r="AA195" i="1"/>
  <c r="AA197" i="1"/>
  <c r="AA198" i="1"/>
  <c r="AA199" i="1"/>
  <c r="AA200" i="1"/>
  <c r="AA209" i="1"/>
  <c r="AA210" i="1"/>
  <c r="AA211" i="1"/>
  <c r="AA212" i="1"/>
  <c r="AA213" i="1"/>
  <c r="AA214" i="1"/>
  <c r="AA215" i="1"/>
  <c r="AA217" i="1"/>
  <c r="AA218" i="1"/>
  <c r="AA219" i="1"/>
  <c r="AA220" i="1"/>
  <c r="AA229" i="1"/>
  <c r="AA230" i="1"/>
  <c r="AA231" i="1"/>
  <c r="AA232" i="1"/>
  <c r="AA233" i="1"/>
  <c r="AA234" i="1"/>
  <c r="AA235" i="1"/>
  <c r="AA237" i="1"/>
  <c r="AA238" i="1"/>
  <c r="AA239" i="1"/>
  <c r="AA240" i="1"/>
  <c r="AA249" i="1"/>
  <c r="AA250" i="1"/>
  <c r="AA251" i="1"/>
  <c r="AA252" i="1"/>
  <c r="AA253" i="1"/>
  <c r="AA254" i="1"/>
  <c r="AA255" i="1"/>
  <c r="AA257" i="1"/>
  <c r="AA258" i="1"/>
  <c r="AA259" i="1"/>
  <c r="AA260" i="1"/>
  <c r="AA269" i="1"/>
  <c r="AA270" i="1"/>
  <c r="AA271" i="1"/>
  <c r="AA272" i="1"/>
  <c r="AA273" i="1"/>
  <c r="AA274" i="1"/>
  <c r="AA275" i="1"/>
  <c r="AA277" i="1"/>
  <c r="AA278" i="1"/>
  <c r="AA279" i="1"/>
  <c r="AA280" i="1"/>
  <c r="AA289" i="1"/>
  <c r="AA290" i="1"/>
  <c r="AA291" i="1"/>
  <c r="AA292" i="1"/>
  <c r="AA293" i="1"/>
  <c r="AA294" i="1"/>
  <c r="AA295" i="1"/>
  <c r="AA297" i="1"/>
  <c r="AA298" i="1"/>
  <c r="AA299" i="1"/>
  <c r="AA300" i="1"/>
  <c r="AA309" i="1"/>
  <c r="AA310" i="1"/>
  <c r="AA311" i="1"/>
  <c r="AA312" i="1"/>
  <c r="AA313" i="1"/>
  <c r="AA314" i="1"/>
  <c r="AA315" i="1"/>
  <c r="AA317" i="1"/>
  <c r="AA318" i="1"/>
  <c r="Z5" i="1"/>
  <c r="Z6" i="1"/>
  <c r="Z15" i="1"/>
  <c r="Z28" i="1"/>
  <c r="Z29" i="1"/>
  <c r="Z30" i="1"/>
  <c r="Z31" i="1"/>
  <c r="Z32" i="1"/>
  <c r="Z33" i="1"/>
  <c r="Z34" i="1"/>
  <c r="Z35" i="1"/>
  <c r="Z53" i="1"/>
  <c r="Z54" i="1"/>
  <c r="Z55" i="1"/>
  <c r="Z68" i="1"/>
  <c r="Z69" i="1"/>
  <c r="Z70" i="1"/>
  <c r="Z71" i="1"/>
  <c r="Z72" i="1"/>
  <c r="Z73" i="1"/>
  <c r="Z91" i="1"/>
  <c r="Z92" i="1"/>
  <c r="Z93" i="1"/>
  <c r="Z94" i="1"/>
  <c r="Z95" i="1"/>
  <c r="Z108" i="1"/>
  <c r="Z109" i="1"/>
  <c r="Z110" i="1"/>
  <c r="Z111" i="1"/>
  <c r="Z129" i="1"/>
  <c r="Z130" i="1"/>
  <c r="Z131" i="1"/>
  <c r="Z132" i="1"/>
  <c r="Z133" i="1"/>
  <c r="Z134" i="1"/>
  <c r="Z135" i="1"/>
  <c r="Z148" i="1"/>
  <c r="Z149" i="1"/>
  <c r="Z168" i="1"/>
  <c r="Z169" i="1"/>
  <c r="Z170" i="1"/>
  <c r="Z171" i="1"/>
  <c r="Z172" i="1"/>
  <c r="Z173" i="1"/>
  <c r="Z174" i="1"/>
  <c r="Z175" i="1"/>
  <c r="Z208" i="1"/>
  <c r="Z209" i="1"/>
  <c r="Z210" i="1"/>
  <c r="Z211" i="1"/>
  <c r="Z212" i="1"/>
  <c r="Z213" i="1"/>
  <c r="Z214" i="1"/>
  <c r="Z215" i="1"/>
  <c r="Z225" i="1"/>
  <c r="Z234" i="1"/>
  <c r="Z235" i="1"/>
  <c r="Z248" i="1"/>
  <c r="Z249" i="1"/>
  <c r="Z250" i="1"/>
  <c r="Z251" i="1"/>
  <c r="Z252" i="1"/>
  <c r="Z253" i="1"/>
  <c r="Z254" i="1"/>
  <c r="Z272" i="1"/>
  <c r="Z273" i="1"/>
  <c r="Z274" i="1"/>
  <c r="Z275" i="1"/>
  <c r="Z288" i="1"/>
  <c r="Z289" i="1"/>
  <c r="Z290" i="1"/>
  <c r="Z291" i="1"/>
  <c r="Z292" i="1"/>
  <c r="Z310" i="1"/>
  <c r="Z311" i="1"/>
  <c r="Z312" i="1"/>
  <c r="Z313" i="1"/>
  <c r="Z314" i="1"/>
  <c r="Z315" i="1"/>
  <c r="Z2" i="1"/>
  <c r="Y3" i="1"/>
  <c r="Z3" i="1" s="1"/>
  <c r="Y4" i="1"/>
  <c r="Z4" i="1" s="1"/>
  <c r="Y5" i="1"/>
  <c r="AA5" i="1" s="1"/>
  <c r="Y6" i="1"/>
  <c r="AA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AA25" i="1" s="1"/>
  <c r="Y26" i="1"/>
  <c r="AA26" i="1" s="1"/>
  <c r="Y27" i="1"/>
  <c r="Z27" i="1" s="1"/>
  <c r="Y28" i="1"/>
  <c r="AA28" i="1" s="1"/>
  <c r="Y29" i="1"/>
  <c r="Y30" i="1"/>
  <c r="Y31" i="1"/>
  <c r="Y32" i="1"/>
  <c r="Y33" i="1"/>
  <c r="Y34" i="1"/>
  <c r="Y35" i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Y54" i="1"/>
  <c r="Y55" i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AA65" i="1" s="1"/>
  <c r="Y66" i="1"/>
  <c r="Z66" i="1" s="1"/>
  <c r="Y67" i="1"/>
  <c r="AA67" i="1" s="1"/>
  <c r="Y68" i="1"/>
  <c r="AA68" i="1" s="1"/>
  <c r="Y69" i="1"/>
  <c r="Y70" i="1"/>
  <c r="Y71" i="1"/>
  <c r="Y72" i="1"/>
  <c r="Y73" i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Y92" i="1"/>
  <c r="Y93" i="1"/>
  <c r="Y94" i="1"/>
  <c r="Y95" i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AA105" i="1" s="1"/>
  <c r="Y106" i="1"/>
  <c r="AA106" i="1" s="1"/>
  <c r="Y107" i="1"/>
  <c r="AA107" i="1" s="1"/>
  <c r="Y108" i="1"/>
  <c r="AA108" i="1" s="1"/>
  <c r="Y109" i="1"/>
  <c r="Y110" i="1"/>
  <c r="Y111" i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AA125" i="1" s="1"/>
  <c r="Y126" i="1"/>
  <c r="AA126" i="1" s="1"/>
  <c r="Y127" i="1"/>
  <c r="AA127" i="1" s="1"/>
  <c r="Y128" i="1"/>
  <c r="AA128" i="1" s="1"/>
  <c r="Y129" i="1"/>
  <c r="Y130" i="1"/>
  <c r="Y131" i="1"/>
  <c r="Y132" i="1"/>
  <c r="Y133" i="1"/>
  <c r="Y134" i="1"/>
  <c r="Y135" i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AA145" i="1" s="1"/>
  <c r="Y146" i="1"/>
  <c r="AA146" i="1" s="1"/>
  <c r="Y147" i="1"/>
  <c r="AA147" i="1" s="1"/>
  <c r="Y148" i="1"/>
  <c r="AA148" i="1" s="1"/>
  <c r="Y149" i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AA165" i="1" s="1"/>
  <c r="Y166" i="1"/>
  <c r="AA166" i="1" s="1"/>
  <c r="Y167" i="1"/>
  <c r="AA167" i="1" s="1"/>
  <c r="Y168" i="1"/>
  <c r="AA168" i="1" s="1"/>
  <c r="Y169" i="1"/>
  <c r="Y170" i="1"/>
  <c r="Y171" i="1"/>
  <c r="Y172" i="1"/>
  <c r="Y173" i="1"/>
  <c r="Y174" i="1"/>
  <c r="Y175" i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AA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AA205" i="1" s="1"/>
  <c r="Y206" i="1"/>
  <c r="AA206" i="1" s="1"/>
  <c r="Y207" i="1"/>
  <c r="AA207" i="1" s="1"/>
  <c r="Y208" i="1"/>
  <c r="AA208" i="1" s="1"/>
  <c r="Y209" i="1"/>
  <c r="Y210" i="1"/>
  <c r="Y211" i="1"/>
  <c r="Y212" i="1"/>
  <c r="Y213" i="1"/>
  <c r="Y214" i="1"/>
  <c r="Y215" i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AA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Y235" i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AA245" i="1" s="1"/>
  <c r="Y246" i="1"/>
  <c r="AA246" i="1" s="1"/>
  <c r="Y247" i="1"/>
  <c r="AA247" i="1" s="1"/>
  <c r="Y248" i="1"/>
  <c r="AA248" i="1" s="1"/>
  <c r="Y249" i="1"/>
  <c r="Y250" i="1"/>
  <c r="Y251" i="1"/>
  <c r="Y252" i="1"/>
  <c r="Y253" i="1"/>
  <c r="Y254" i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Y273" i="1"/>
  <c r="Y274" i="1"/>
  <c r="Y275" i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AA285" i="1" s="1"/>
  <c r="Y286" i="1"/>
  <c r="AA286" i="1" s="1"/>
  <c r="Y287" i="1"/>
  <c r="Z287" i="1" s="1"/>
  <c r="Y288" i="1"/>
  <c r="AA288" i="1" s="1"/>
  <c r="Y289" i="1"/>
  <c r="Y290" i="1"/>
  <c r="Y291" i="1"/>
  <c r="Y292" i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Y311" i="1"/>
  <c r="Y312" i="1"/>
  <c r="Y313" i="1"/>
  <c r="Y314" i="1"/>
  <c r="Y315" i="1"/>
  <c r="Y316" i="1"/>
  <c r="Z316" i="1" s="1"/>
  <c r="Y317" i="1"/>
  <c r="Z317" i="1" s="1"/>
  <c r="Y318" i="1"/>
  <c r="Z318" i="1" s="1"/>
  <c r="Y319" i="1"/>
  <c r="Z319" i="1" s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2" i="1"/>
  <c r="W2" i="1" s="1"/>
  <c r="Z185" i="1" l="1"/>
  <c r="Z146" i="1"/>
  <c r="Z145" i="1"/>
  <c r="Z107" i="1"/>
  <c r="AA316" i="1"/>
  <c r="AA296" i="1"/>
  <c r="AA276" i="1"/>
  <c r="AA256" i="1"/>
  <c r="AA236" i="1"/>
  <c r="AA216" i="1"/>
  <c r="AA196" i="1"/>
  <c r="AA176" i="1"/>
  <c r="AA156" i="1"/>
  <c r="AA136" i="1"/>
  <c r="AA116" i="1"/>
  <c r="AA96" i="1"/>
  <c r="AA76" i="1"/>
  <c r="AA56" i="1"/>
  <c r="AA36" i="1"/>
  <c r="AA16" i="1"/>
  <c r="Z286" i="1"/>
  <c r="Z105" i="1"/>
  <c r="Z67" i="1"/>
  <c r="Z245" i="1"/>
  <c r="Z207" i="1"/>
  <c r="Z26" i="1"/>
  <c r="Z285" i="1"/>
  <c r="Z246" i="1"/>
  <c r="Z65" i="1"/>
  <c r="Z206" i="1"/>
  <c r="Z25" i="1"/>
  <c r="Z147" i="1"/>
  <c r="Z106" i="1"/>
  <c r="Z247" i="1"/>
  <c r="Z205" i="1"/>
  <c r="Z167" i="1"/>
  <c r="Z166" i="1"/>
  <c r="Z128" i="1"/>
  <c r="AA308" i="1"/>
  <c r="AA268" i="1"/>
  <c r="AA228" i="1"/>
  <c r="AA188" i="1"/>
  <c r="AA88" i="1"/>
  <c r="AA48" i="1"/>
  <c r="AA8" i="1"/>
  <c r="Z165" i="1"/>
  <c r="Z127" i="1"/>
  <c r="AA307" i="1"/>
  <c r="AA287" i="1"/>
  <c r="AA267" i="1"/>
  <c r="AA227" i="1"/>
  <c r="AA187" i="1"/>
  <c r="AA87" i="1"/>
  <c r="AA47" i="1"/>
  <c r="AA27" i="1"/>
  <c r="AA7" i="1"/>
  <c r="Z126" i="1"/>
  <c r="AA306" i="1"/>
  <c r="AA266" i="1"/>
  <c r="AA226" i="1"/>
  <c r="AA186" i="1"/>
  <c r="AA86" i="1"/>
  <c r="AA66" i="1"/>
  <c r="AA46" i="1"/>
  <c r="Z125" i="1"/>
  <c r="AA305" i="1"/>
  <c r="AA265" i="1"/>
  <c r="AA85" i="1"/>
  <c r="AA45" i="1"/>
  <c r="AA304" i="1"/>
  <c r="AA284" i="1"/>
  <c r="AA264" i="1"/>
  <c r="AA244" i="1"/>
  <c r="AA224" i="1"/>
  <c r="AA204" i="1"/>
  <c r="AA184" i="1"/>
  <c r="AA164" i="1"/>
  <c r="AA144" i="1"/>
  <c r="AA124" i="1"/>
  <c r="AA104" i="1"/>
  <c r="AA84" i="1"/>
  <c r="AA64" i="1"/>
  <c r="AA44" i="1"/>
  <c r="AA24" i="1"/>
  <c r="AA4" i="1"/>
  <c r="AA303" i="1"/>
  <c r="AA283" i="1"/>
  <c r="AA263" i="1"/>
  <c r="AA243" i="1"/>
  <c r="AA223" i="1"/>
  <c r="AA203" i="1"/>
  <c r="AA183" i="1"/>
  <c r="AA163" i="1"/>
  <c r="AA143" i="1"/>
  <c r="AA123" i="1"/>
  <c r="AA103" i="1"/>
  <c r="AA83" i="1"/>
  <c r="AA63" i="1"/>
  <c r="AA43" i="1"/>
  <c r="AA23" i="1"/>
  <c r="AA3" i="1"/>
  <c r="AA302" i="1"/>
  <c r="AA282" i="1"/>
  <c r="AA262" i="1"/>
  <c r="AA242" i="1"/>
  <c r="AA222" i="1"/>
  <c r="AA202" i="1"/>
  <c r="AA182" i="1"/>
  <c r="AA162" i="1"/>
  <c r="AA142" i="1"/>
  <c r="AA122" i="1"/>
  <c r="AA102" i="1"/>
  <c r="AA82" i="1"/>
  <c r="AA62" i="1"/>
  <c r="AA42" i="1"/>
  <c r="AA22" i="1"/>
  <c r="AA2" i="1"/>
  <c r="AA301" i="1"/>
  <c r="AA281" i="1"/>
  <c r="AA261" i="1"/>
  <c r="AA241" i="1"/>
  <c r="AA221" i="1"/>
  <c r="AA201" i="1"/>
  <c r="AA181" i="1"/>
  <c r="AA161" i="1"/>
  <c r="AA141" i="1"/>
  <c r="AA121" i="1"/>
  <c r="AA101" i="1"/>
  <c r="AA81" i="1"/>
  <c r="AA61" i="1"/>
  <c r="AA41" i="1"/>
  <c r="AA21" i="1"/>
  <c r="AA319" i="1"/>
</calcChain>
</file>

<file path=xl/sharedStrings.xml><?xml version="1.0" encoding="utf-8"?>
<sst xmlns="http://schemas.openxmlformats.org/spreadsheetml/2006/main" count="685" uniqueCount="44">
  <si>
    <t>model</t>
  </si>
  <si>
    <t>layer</t>
  </si>
  <si>
    <t>layer_idx</t>
  </si>
  <si>
    <t>tile</t>
  </si>
  <si>
    <t>orig_m</t>
  </si>
  <si>
    <t>orig_n</t>
  </si>
  <si>
    <t>orig_k</t>
  </si>
  <si>
    <t>m</t>
  </si>
  <si>
    <t>n</t>
  </si>
  <si>
    <t>k</t>
  </si>
  <si>
    <t>config</t>
  </si>
  <si>
    <t>sa_size</t>
  </si>
  <si>
    <t>sparsity</t>
  </si>
  <si>
    <t>orig_macs</t>
  </si>
  <si>
    <t>eff_macs</t>
  </si>
  <si>
    <t>mac_reduction</t>
  </si>
  <si>
    <t>cycles</t>
  </si>
  <si>
    <t>cpu_us</t>
  </si>
  <si>
    <t>match</t>
  </si>
  <si>
    <t>npu_us</t>
  </si>
  <si>
    <t>alexnet</t>
  </si>
  <si>
    <t>__module.features.10/aten::_convolution/Convolution</t>
  </si>
  <si>
    <t>__module.features.8/aten::_convolution/Convolution</t>
  </si>
  <si>
    <t>__module.features.6/aten::_convolution/Convolution</t>
  </si>
  <si>
    <t>__module.features.3/aten::_convolution/Convolution</t>
  </si>
  <si>
    <t>__module.features.0/aten::_convolution/Convolution</t>
  </si>
  <si>
    <t>Tile idx</t>
  </si>
  <si>
    <t>Row Labels</t>
  </si>
  <si>
    <t>Grand Total</t>
  </si>
  <si>
    <t>Average of cycles</t>
  </si>
  <si>
    <t>Dense Baseline</t>
  </si>
  <si>
    <t>Gap</t>
  </si>
  <si>
    <t>Single-Core Baseline (Dense)</t>
  </si>
  <si>
    <t>Latency Saved</t>
  </si>
  <si>
    <t>Dual-Core System (actual)</t>
  </si>
  <si>
    <t>HW Throughput (GOPS)</t>
  </si>
  <si>
    <t>Dense-Equivalent Throughput (GOPS)</t>
  </si>
  <si>
    <t>Average of Area Efficiency Score</t>
  </si>
  <si>
    <t>Column Labels</t>
  </si>
  <si>
    <t>Power_Efficiency_Score</t>
  </si>
  <si>
    <t>Average of Power_Efficiency_Score</t>
  </si>
  <si>
    <t>Average of Average of Area Efficiency Score</t>
  </si>
  <si>
    <t>Energy_mJ</t>
  </si>
  <si>
    <t>Sum of Energy_mJ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</si>
</sst>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[results_alexnet_pruned45_cat.xlsx]Sheet2!PivotTable3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Latency (Cycles) per Core Config on AlexNet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59.45602605863192</c:v>
                </c:pt>
                <c:pt idx="1">
                  <c:v>30.636363636363637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A-48C7-9DA9-BD88321F0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67536"/>
        <c:axId val="1489695408"/>
      </c:barChart>
      <c:catAx>
        <c:axId val="72467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Core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695408"/>
        <c:crosses val="autoZero"/>
        <c:auto val="1"/>
        <c:lblAlgn val="ctr"/>
        <c:lblOffset val="100"/>
        <c:noMultiLvlLbl val="0"/>
      </c:catAx>
      <c:valAx>
        <c:axId val="14896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Average 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6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[results_alexnet_pruned45_cat.xlsx]Sheet6!PivotTable7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Cumulative Latency Reduction:</a:t>
            </a:r>
            <a:r>
              <a:rPr lang="en-NZ" baseline="0"/>
              <a:t> Dense Baseline vs. Dual-Core System</a:t>
            </a:r>
          </a:p>
          <a:p>
            <a:pPr>
              <a:defRPr/>
            </a:pPr>
            <a:r>
              <a:rPr lang="en-NZ" baseline="0"/>
              <a:t>AlexNet</a:t>
            </a:r>
            <a:endParaRPr lang="en-NZ"/>
          </a:p>
        </c:rich>
      </c:tx>
      <c:layout>
        <c:manualLayout>
          <c:xMode val="edge"/>
          <c:yMode val="edge"/>
          <c:x val="0.12958504664401421"/>
          <c:y val="3.2200394974608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76200">
            <a:noFill/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 w="28575">
            <a:noFill/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57150">
            <a:solidFill>
              <a:schemeClr val="accent3"/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25400"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37505762581121"/>
          <c:y val="0.11536666234792603"/>
          <c:w val="0.72762554053201423"/>
          <c:h val="0.71688423907297349"/>
        </c:manualLayout>
      </c:layout>
      <c:areaChart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Dual-Core System (actual)</c:v>
                </c:pt>
              </c:strCache>
            </c:strRef>
          </c:tx>
          <c:spPr>
            <a:solidFill>
              <a:schemeClr val="accent3"/>
            </a:solidFill>
            <a:ln w="25400">
              <a:solidFill>
                <a:schemeClr val="accent3"/>
              </a:solidFill>
            </a:ln>
            <a:effectLst/>
          </c:spPr>
          <c:cat>
            <c:strRef>
              <c:f>Sheet6!$A$4:$A$9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2910</c:v>
                </c:pt>
                <c:pt idx="1">
                  <c:v>2734</c:v>
                </c:pt>
                <c:pt idx="2">
                  <c:v>2958</c:v>
                </c:pt>
                <c:pt idx="3">
                  <c:v>9080</c:v>
                </c:pt>
                <c:pt idx="4">
                  <c:v>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2-44CD-B610-A8D1577902D2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Latency Saved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strRef>
              <c:f>Sheet6!$A$4:$A$9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Sheet6!$C$4:$C$9</c:f>
              <c:numCache>
                <c:formatCode>General</c:formatCode>
                <c:ptCount val="5"/>
                <c:pt idx="0">
                  <c:v>1418</c:v>
                </c:pt>
                <c:pt idx="1">
                  <c:v>1594</c:v>
                </c:pt>
                <c:pt idx="2">
                  <c:v>3534</c:v>
                </c:pt>
                <c:pt idx="3">
                  <c:v>3850</c:v>
                </c:pt>
                <c:pt idx="4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2-44CD-B610-A8D1577902D2}"/>
            </c:ext>
          </c:extLst>
        </c:ser>
        <c:ser>
          <c:idx val="2"/>
          <c:order val="2"/>
          <c:tx>
            <c:strRef>
              <c:f>Sheet6!$D$3</c:f>
              <c:strCache>
                <c:ptCount val="1"/>
                <c:pt idx="0">
                  <c:v>Single-Core Baseline (Dense)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28575">
              <a:noFill/>
              <a:prstDash val="dash"/>
            </a:ln>
            <a:effectLst/>
          </c:spPr>
          <c:cat>
            <c:strRef>
              <c:f>Sheet6!$A$4:$A$9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Sheet6!$D$4:$D$9</c:f>
              <c:numCache>
                <c:formatCode>General</c:formatCode>
                <c:ptCount val="5"/>
                <c:pt idx="0">
                  <c:v>4328</c:v>
                </c:pt>
                <c:pt idx="1">
                  <c:v>4328</c:v>
                </c:pt>
                <c:pt idx="2">
                  <c:v>6492</c:v>
                </c:pt>
                <c:pt idx="3">
                  <c:v>12930</c:v>
                </c:pt>
                <c:pt idx="4">
                  <c:v>1082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7-4A91-84D4-1F9BAE1FF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49440"/>
        <c:axId val="76248480"/>
      </c:areaChart>
      <c:catAx>
        <c:axId val="76249440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8480"/>
        <c:crosses val="autoZero"/>
        <c:auto val="1"/>
        <c:lblAlgn val="ctr"/>
        <c:lblOffset val="100"/>
        <c:noMultiLvlLbl val="0"/>
      </c:catAx>
      <c:valAx>
        <c:axId val="762484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Cumulative Clock Cycles</a:t>
                </a:r>
              </a:p>
            </c:rich>
          </c:tx>
          <c:layout>
            <c:manualLayout>
              <c:xMode val="edge"/>
              <c:yMode val="edge"/>
              <c:x val="6.3176991082632E-2"/>
              <c:y val="0.32991865807195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775683800758445"/>
          <c:y val="0.92043028855357101"/>
          <c:w val="0.71150361847393739"/>
          <c:h val="7.9569726975006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[results_alexnet_pruned45_cat.xlsx]Sheet1!PivotTable1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baseline="0"/>
              <a:t>Area-Normalised Throghput Efficiency in AlexNet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5"/>
                <c:pt idx="0">
                  <c:v>0.45263232643441376</c:v>
                </c:pt>
                <c:pt idx="1">
                  <c:v>0.48296569338866058</c:v>
                </c:pt>
                <c:pt idx="2">
                  <c:v>0.67166816047913114</c:v>
                </c:pt>
                <c:pt idx="3">
                  <c:v>0.48050416675809493</c:v>
                </c:pt>
                <c:pt idx="4">
                  <c:v>0.37642907628308497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4-4938-BB0B-FD55FD07A86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5"/>
                <c:pt idx="0">
                  <c:v>5.2979014819816319</c:v>
                </c:pt>
                <c:pt idx="1">
                  <c:v>5.8402513104172522</c:v>
                </c:pt>
                <c:pt idx="2">
                  <c:v>13.965770390260586</c:v>
                </c:pt>
                <c:pt idx="4">
                  <c:v>3.0794052364018234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4-4938-BB0B-FD55FD07A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219760"/>
        <c:axId val="1256221200"/>
      </c:barChart>
      <c:catAx>
        <c:axId val="1256219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21200"/>
        <c:crosses val="autoZero"/>
        <c:auto val="1"/>
        <c:lblAlgn val="ctr"/>
        <c:lblOffset val="100"/>
        <c:noMultiLvlLbl val="0"/>
      </c:catAx>
      <c:valAx>
        <c:axId val="125622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Efficiency</a:t>
                </a:r>
                <a:r>
                  <a:rPr lang="en-NZ" baseline="0"/>
                  <a:t> Score 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1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[results_alexnet_pruned45_cat.xlsx]Sheet3!PivotTable2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Power to Silicon Area</a:t>
            </a:r>
            <a:r>
              <a:rPr lang="en-NZ" baseline="0"/>
              <a:t> </a:t>
            </a:r>
            <a:r>
              <a:rPr lang="en-NZ"/>
              <a:t>Efficiency</a:t>
            </a:r>
            <a:r>
              <a:rPr lang="en-NZ" baseline="0"/>
              <a:t> For Each Layer in AlexNet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2361.6583229904572</c:v>
                </c:pt>
                <c:pt idx="1">
                  <c:v>2519.9259595424874</c:v>
                </c:pt>
                <c:pt idx="2">
                  <c:v>3504.5015763209713</c:v>
                </c:pt>
                <c:pt idx="3">
                  <c:v>2507.0826770042477</c:v>
                </c:pt>
                <c:pt idx="4">
                  <c:v>1964.059588988222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4-4918-A670-7093FD199C4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8091.6111463812085</c:v>
                </c:pt>
                <c:pt idx="1">
                  <c:v>8919.9549598577323</c:v>
                </c:pt>
                <c:pt idx="2">
                  <c:v>21330.253826344178</c:v>
                </c:pt>
                <c:pt idx="4">
                  <c:v>4703.2489788340772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44-4918-A670-7093FD199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014656"/>
        <c:axId val="1170013216"/>
      </c:barChart>
      <c:catAx>
        <c:axId val="1170014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13216"/>
        <c:crosses val="autoZero"/>
        <c:auto val="1"/>
        <c:lblAlgn val="ctr"/>
        <c:lblOffset val="100"/>
        <c:noMultiLvlLbl val="0"/>
      </c:catAx>
      <c:valAx>
        <c:axId val="11700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Average</a:t>
                </a:r>
                <a:r>
                  <a:rPr lang="en-NZ" baseline="0"/>
                  <a:t> Power Efficiency Score</a:t>
                </a:r>
                <a:endParaRPr lang="en-NZ"/>
              </a:p>
            </c:rich>
          </c:tx>
          <c:layout>
            <c:manualLayout>
              <c:xMode val="edge"/>
              <c:yMode val="edge"/>
              <c:x val="1.9346308054157477E-2"/>
              <c:y val="0.20453703703703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1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[results_alexnet_pruned45_cat.xlsx]Sheet4!PivotTable4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Energy</a:t>
            </a:r>
            <a:r>
              <a:rPr lang="en-US" baseline="0"/>
              <a:t> per Layer in AlexNet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118.29999999999998</c:v>
                </c:pt>
                <c:pt idx="1">
                  <c:v>111.16485714285714</c:v>
                </c:pt>
                <c:pt idx="2">
                  <c:v>119.36971428571428</c:v>
                </c:pt>
                <c:pt idx="3">
                  <c:v>370.98285714285697</c:v>
                </c:pt>
                <c:pt idx="4">
                  <c:v>36.587571428571437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5-4332-A1C2-E70B7D89A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61522464"/>
        <c:axId val="2061521024"/>
      </c:barChart>
      <c:catAx>
        <c:axId val="206152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521024"/>
        <c:crosses val="autoZero"/>
        <c:auto val="1"/>
        <c:lblAlgn val="ctr"/>
        <c:lblOffset val="100"/>
        <c:noMultiLvlLbl val="0"/>
      </c:catAx>
      <c:valAx>
        <c:axId val="20615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Energy Consumption</a:t>
                </a:r>
                <a:r>
                  <a:rPr lang="en-NZ" baseline="0"/>
                  <a:t> (mJ)</a:t>
                </a:r>
                <a:endParaRPr lang="en-NZ"/>
              </a:p>
            </c:rich>
          </c:tx>
          <c:layout>
            <c:manualLayout>
              <c:xMode val="edge"/>
              <c:yMode val="edge"/>
              <c:x val="1.6709511286266163E-2"/>
              <c:y val="0.18977252843394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52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Impact of Sparsity on Computational Latency AlexNet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results_alexnet_pruned45_cat!$P$2:$P$319</c:f>
              <c:numCache>
                <c:formatCode>General</c:formatCode>
                <c:ptCount val="318"/>
                <c:pt idx="0">
                  <c:v>0.66600000000000004</c:v>
                </c:pt>
                <c:pt idx="1">
                  <c:v>0.70120000000000005</c:v>
                </c:pt>
                <c:pt idx="2">
                  <c:v>0.78910000000000002</c:v>
                </c:pt>
                <c:pt idx="3">
                  <c:v>0.70120000000000005</c:v>
                </c:pt>
                <c:pt idx="4">
                  <c:v>0.63090000000000002</c:v>
                </c:pt>
                <c:pt idx="5">
                  <c:v>0.64839999999999998</c:v>
                </c:pt>
                <c:pt idx="6">
                  <c:v>0.63090000000000002</c:v>
                </c:pt>
                <c:pt idx="7">
                  <c:v>0.75390000000000001</c:v>
                </c:pt>
                <c:pt idx="8">
                  <c:v>0.66600000000000004</c:v>
                </c:pt>
                <c:pt idx="9">
                  <c:v>0.70120000000000005</c:v>
                </c:pt>
                <c:pt idx="10">
                  <c:v>0.78910000000000002</c:v>
                </c:pt>
                <c:pt idx="11">
                  <c:v>0.70120000000000005</c:v>
                </c:pt>
                <c:pt idx="12">
                  <c:v>0.63090000000000002</c:v>
                </c:pt>
                <c:pt idx="13">
                  <c:v>0.64839999999999998</c:v>
                </c:pt>
                <c:pt idx="14">
                  <c:v>0.63090000000000002</c:v>
                </c:pt>
                <c:pt idx="15">
                  <c:v>0.75390000000000001</c:v>
                </c:pt>
                <c:pt idx="16">
                  <c:v>0.66600000000000004</c:v>
                </c:pt>
                <c:pt idx="17">
                  <c:v>0.70120000000000005</c:v>
                </c:pt>
                <c:pt idx="18">
                  <c:v>0.78910000000000002</c:v>
                </c:pt>
                <c:pt idx="19">
                  <c:v>0.70120000000000005</c:v>
                </c:pt>
                <c:pt idx="20">
                  <c:v>0.63090000000000002</c:v>
                </c:pt>
                <c:pt idx="21">
                  <c:v>0.64839999999999998</c:v>
                </c:pt>
                <c:pt idx="22">
                  <c:v>0.63090000000000002</c:v>
                </c:pt>
                <c:pt idx="23">
                  <c:v>0.75390000000000001</c:v>
                </c:pt>
                <c:pt idx="24">
                  <c:v>0.67649999999999999</c:v>
                </c:pt>
                <c:pt idx="25">
                  <c:v>0.71050000000000002</c:v>
                </c:pt>
                <c:pt idx="26">
                  <c:v>0.79569999999999996</c:v>
                </c:pt>
                <c:pt idx="27">
                  <c:v>0.71050000000000002</c:v>
                </c:pt>
                <c:pt idx="28">
                  <c:v>0.64239999999999997</c:v>
                </c:pt>
                <c:pt idx="29">
                  <c:v>0.65939999999999999</c:v>
                </c:pt>
                <c:pt idx="30">
                  <c:v>0.64239999999999997</c:v>
                </c:pt>
                <c:pt idx="31">
                  <c:v>0.76160000000000005</c:v>
                </c:pt>
                <c:pt idx="32">
                  <c:v>0.66600000000000004</c:v>
                </c:pt>
                <c:pt idx="33">
                  <c:v>0.70120000000000005</c:v>
                </c:pt>
                <c:pt idx="34">
                  <c:v>0.78910000000000002</c:v>
                </c:pt>
                <c:pt idx="35">
                  <c:v>0.70120000000000005</c:v>
                </c:pt>
                <c:pt idx="36">
                  <c:v>0.63090000000000002</c:v>
                </c:pt>
                <c:pt idx="37">
                  <c:v>0.64839999999999998</c:v>
                </c:pt>
                <c:pt idx="38">
                  <c:v>0.63090000000000002</c:v>
                </c:pt>
                <c:pt idx="39">
                  <c:v>0.75390000000000001</c:v>
                </c:pt>
                <c:pt idx="40">
                  <c:v>0.77729999999999999</c:v>
                </c:pt>
                <c:pt idx="41">
                  <c:v>0.80079999999999996</c:v>
                </c:pt>
                <c:pt idx="42">
                  <c:v>0.85940000000000005</c:v>
                </c:pt>
                <c:pt idx="43">
                  <c:v>0.80079999999999996</c:v>
                </c:pt>
                <c:pt idx="44">
                  <c:v>0.75390000000000001</c:v>
                </c:pt>
                <c:pt idx="45">
                  <c:v>0.76559999999999995</c:v>
                </c:pt>
                <c:pt idx="46">
                  <c:v>0.75390000000000001</c:v>
                </c:pt>
                <c:pt idx="47">
                  <c:v>0.83589999999999998</c:v>
                </c:pt>
                <c:pt idx="48">
                  <c:v>0.60829999999999995</c:v>
                </c:pt>
                <c:pt idx="49">
                  <c:v>0.67649999999999999</c:v>
                </c:pt>
                <c:pt idx="50">
                  <c:v>0.71050000000000002</c:v>
                </c:pt>
                <c:pt idx="51">
                  <c:v>0.77859999999999996</c:v>
                </c:pt>
                <c:pt idx="52">
                  <c:v>0.64239999999999997</c:v>
                </c:pt>
                <c:pt idx="53">
                  <c:v>0.71050000000000002</c:v>
                </c:pt>
                <c:pt idx="54">
                  <c:v>0.69350000000000001</c:v>
                </c:pt>
                <c:pt idx="55">
                  <c:v>0.77859999999999996</c:v>
                </c:pt>
                <c:pt idx="56">
                  <c:v>0.69679999999999997</c:v>
                </c:pt>
                <c:pt idx="57">
                  <c:v>0.74950000000000006</c:v>
                </c:pt>
                <c:pt idx="58">
                  <c:v>0.77590000000000003</c:v>
                </c:pt>
                <c:pt idx="59">
                  <c:v>0.8286</c:v>
                </c:pt>
                <c:pt idx="60">
                  <c:v>0.72309999999999997</c:v>
                </c:pt>
                <c:pt idx="61">
                  <c:v>0.77590000000000003</c:v>
                </c:pt>
                <c:pt idx="62">
                  <c:v>0.76270000000000004</c:v>
                </c:pt>
                <c:pt idx="63">
                  <c:v>0.8286</c:v>
                </c:pt>
                <c:pt idx="64">
                  <c:v>0.69679999999999997</c:v>
                </c:pt>
                <c:pt idx="65">
                  <c:v>0.74950000000000006</c:v>
                </c:pt>
                <c:pt idx="66">
                  <c:v>0.77590000000000003</c:v>
                </c:pt>
                <c:pt idx="67">
                  <c:v>0.8286</c:v>
                </c:pt>
                <c:pt idx="68">
                  <c:v>0.72309999999999997</c:v>
                </c:pt>
                <c:pt idx="69">
                  <c:v>0.77590000000000003</c:v>
                </c:pt>
                <c:pt idx="70">
                  <c:v>0.76270000000000004</c:v>
                </c:pt>
                <c:pt idx="71">
                  <c:v>0.8286</c:v>
                </c:pt>
                <c:pt idx="72">
                  <c:v>0.63360000000000005</c:v>
                </c:pt>
                <c:pt idx="73">
                  <c:v>0.69730000000000003</c:v>
                </c:pt>
                <c:pt idx="74">
                  <c:v>0.72919999999999996</c:v>
                </c:pt>
                <c:pt idx="75">
                  <c:v>0.79290000000000005</c:v>
                </c:pt>
                <c:pt idx="76">
                  <c:v>0.66549999999999998</c:v>
                </c:pt>
                <c:pt idx="77">
                  <c:v>0.72919999999999996</c:v>
                </c:pt>
                <c:pt idx="78">
                  <c:v>0.71330000000000005</c:v>
                </c:pt>
                <c:pt idx="79">
                  <c:v>0.79290000000000005</c:v>
                </c:pt>
                <c:pt idx="80">
                  <c:v>0.59570000000000001</c:v>
                </c:pt>
                <c:pt idx="81">
                  <c:v>0.66600000000000004</c:v>
                </c:pt>
                <c:pt idx="82">
                  <c:v>0.70120000000000005</c:v>
                </c:pt>
                <c:pt idx="83">
                  <c:v>0.77149999999999996</c:v>
                </c:pt>
                <c:pt idx="84">
                  <c:v>0.63090000000000002</c:v>
                </c:pt>
                <c:pt idx="85">
                  <c:v>0.70120000000000005</c:v>
                </c:pt>
                <c:pt idx="86">
                  <c:v>0.68359999999999999</c:v>
                </c:pt>
                <c:pt idx="87">
                  <c:v>0.77149999999999996</c:v>
                </c:pt>
                <c:pt idx="88">
                  <c:v>0.79790000000000005</c:v>
                </c:pt>
                <c:pt idx="89">
                  <c:v>0.83299999999999996</c:v>
                </c:pt>
                <c:pt idx="90">
                  <c:v>0.85060000000000002</c:v>
                </c:pt>
                <c:pt idx="91">
                  <c:v>0.88570000000000004</c:v>
                </c:pt>
                <c:pt idx="92">
                  <c:v>0.81540000000000001</c:v>
                </c:pt>
                <c:pt idx="93">
                  <c:v>0.85060000000000002</c:v>
                </c:pt>
                <c:pt idx="94">
                  <c:v>0.84179999999999999</c:v>
                </c:pt>
                <c:pt idx="95">
                  <c:v>0.88570000000000004</c:v>
                </c:pt>
                <c:pt idx="96">
                  <c:v>0.91410000000000002</c:v>
                </c:pt>
                <c:pt idx="97">
                  <c:v>0.90869999999999995</c:v>
                </c:pt>
                <c:pt idx="98">
                  <c:v>0.90869999999999995</c:v>
                </c:pt>
                <c:pt idx="99">
                  <c:v>0.9194</c:v>
                </c:pt>
                <c:pt idx="100">
                  <c:v>0.90329999999999999</c:v>
                </c:pt>
                <c:pt idx="101">
                  <c:v>0.90329999999999999</c:v>
                </c:pt>
                <c:pt idx="102">
                  <c:v>0.89259999999999995</c:v>
                </c:pt>
                <c:pt idx="103">
                  <c:v>0.88719999999999999</c:v>
                </c:pt>
                <c:pt idx="104">
                  <c:v>0.90869999999999995</c:v>
                </c:pt>
                <c:pt idx="105">
                  <c:v>0.89790000000000003</c:v>
                </c:pt>
                <c:pt idx="106">
                  <c:v>0.89259999999999995</c:v>
                </c:pt>
                <c:pt idx="107">
                  <c:v>0.93020000000000003</c:v>
                </c:pt>
                <c:pt idx="108">
                  <c:v>0.877</c:v>
                </c:pt>
                <c:pt idx="109">
                  <c:v>0.86929999999999996</c:v>
                </c:pt>
                <c:pt idx="110">
                  <c:v>0.86929999999999996</c:v>
                </c:pt>
                <c:pt idx="111">
                  <c:v>0.88460000000000005</c:v>
                </c:pt>
                <c:pt idx="112">
                  <c:v>0.86160000000000003</c:v>
                </c:pt>
                <c:pt idx="113">
                  <c:v>0.86160000000000003</c:v>
                </c:pt>
                <c:pt idx="114">
                  <c:v>0.84619999999999995</c:v>
                </c:pt>
                <c:pt idx="115">
                  <c:v>0.83850000000000002</c:v>
                </c:pt>
                <c:pt idx="116">
                  <c:v>0.86929999999999996</c:v>
                </c:pt>
                <c:pt idx="117">
                  <c:v>0.85389999999999999</c:v>
                </c:pt>
                <c:pt idx="118">
                  <c:v>0.84619999999999995</c:v>
                </c:pt>
                <c:pt idx="119">
                  <c:v>0.9</c:v>
                </c:pt>
                <c:pt idx="120">
                  <c:v>0.92090000000000005</c:v>
                </c:pt>
                <c:pt idx="121">
                  <c:v>0.91600000000000004</c:v>
                </c:pt>
                <c:pt idx="122">
                  <c:v>0.91600000000000004</c:v>
                </c:pt>
                <c:pt idx="123">
                  <c:v>0.92579999999999996</c:v>
                </c:pt>
                <c:pt idx="124">
                  <c:v>0.91100000000000003</c:v>
                </c:pt>
                <c:pt idx="125">
                  <c:v>0.91100000000000003</c:v>
                </c:pt>
                <c:pt idx="126">
                  <c:v>0.90110000000000001</c:v>
                </c:pt>
                <c:pt idx="127">
                  <c:v>0.8962</c:v>
                </c:pt>
                <c:pt idx="128">
                  <c:v>0.91600000000000004</c:v>
                </c:pt>
                <c:pt idx="129">
                  <c:v>0.90610000000000002</c:v>
                </c:pt>
                <c:pt idx="130">
                  <c:v>0.90110000000000001</c:v>
                </c:pt>
                <c:pt idx="131">
                  <c:v>0.93569999999999998</c:v>
                </c:pt>
                <c:pt idx="132">
                  <c:v>0.97070000000000001</c:v>
                </c:pt>
                <c:pt idx="133">
                  <c:v>0.96889999999999998</c:v>
                </c:pt>
                <c:pt idx="134">
                  <c:v>0.96889999999999998</c:v>
                </c:pt>
                <c:pt idx="135">
                  <c:v>0.97250000000000003</c:v>
                </c:pt>
                <c:pt idx="136">
                  <c:v>0.96699999999999997</c:v>
                </c:pt>
                <c:pt idx="137">
                  <c:v>0.96699999999999997</c:v>
                </c:pt>
                <c:pt idx="138">
                  <c:v>0.96340000000000003</c:v>
                </c:pt>
                <c:pt idx="139">
                  <c:v>0.96150000000000002</c:v>
                </c:pt>
                <c:pt idx="140">
                  <c:v>0.96889999999999998</c:v>
                </c:pt>
                <c:pt idx="141">
                  <c:v>0.96519999999999995</c:v>
                </c:pt>
                <c:pt idx="142">
                  <c:v>0.96340000000000003</c:v>
                </c:pt>
                <c:pt idx="143">
                  <c:v>0.97619999999999996</c:v>
                </c:pt>
                <c:pt idx="144">
                  <c:v>0.90329999999999999</c:v>
                </c:pt>
                <c:pt idx="145">
                  <c:v>0.89729999999999999</c:v>
                </c:pt>
                <c:pt idx="146">
                  <c:v>0.89729999999999999</c:v>
                </c:pt>
                <c:pt idx="147">
                  <c:v>0.90939999999999999</c:v>
                </c:pt>
                <c:pt idx="148">
                  <c:v>0.89119999999999999</c:v>
                </c:pt>
                <c:pt idx="149">
                  <c:v>0.89119999999999999</c:v>
                </c:pt>
                <c:pt idx="150">
                  <c:v>0.87919999999999998</c:v>
                </c:pt>
                <c:pt idx="151">
                  <c:v>0.87309999999999999</c:v>
                </c:pt>
                <c:pt idx="152">
                  <c:v>0.89729999999999999</c:v>
                </c:pt>
                <c:pt idx="153">
                  <c:v>0.88519999999999999</c:v>
                </c:pt>
                <c:pt idx="154">
                  <c:v>0.87919999999999998</c:v>
                </c:pt>
                <c:pt idx="155">
                  <c:v>0.9214</c:v>
                </c:pt>
                <c:pt idx="156">
                  <c:v>0.95309999999999995</c:v>
                </c:pt>
                <c:pt idx="157">
                  <c:v>0.95020000000000004</c:v>
                </c:pt>
                <c:pt idx="158">
                  <c:v>0.95020000000000004</c:v>
                </c:pt>
                <c:pt idx="159">
                  <c:v>0.95609999999999995</c:v>
                </c:pt>
                <c:pt idx="160">
                  <c:v>0.94730000000000003</c:v>
                </c:pt>
                <c:pt idx="161">
                  <c:v>0.94730000000000003</c:v>
                </c:pt>
                <c:pt idx="162">
                  <c:v>0.94140000000000001</c:v>
                </c:pt>
                <c:pt idx="163">
                  <c:v>0.9385</c:v>
                </c:pt>
                <c:pt idx="164">
                  <c:v>0.95020000000000004</c:v>
                </c:pt>
                <c:pt idx="165">
                  <c:v>0.94430000000000003</c:v>
                </c:pt>
                <c:pt idx="166">
                  <c:v>0.94140000000000001</c:v>
                </c:pt>
                <c:pt idx="167">
                  <c:v>0.96189999999999998</c:v>
                </c:pt>
                <c:pt idx="168">
                  <c:v>0.75990000000000002</c:v>
                </c:pt>
                <c:pt idx="169">
                  <c:v>0.75990000000000002</c:v>
                </c:pt>
                <c:pt idx="170">
                  <c:v>0.70660000000000001</c:v>
                </c:pt>
                <c:pt idx="171">
                  <c:v>0.8266</c:v>
                </c:pt>
                <c:pt idx="172">
                  <c:v>0.75990000000000002</c:v>
                </c:pt>
                <c:pt idx="173">
                  <c:v>0.77329999999999999</c:v>
                </c:pt>
                <c:pt idx="174">
                  <c:v>0.61550000000000005</c:v>
                </c:pt>
                <c:pt idx="175">
                  <c:v>0.61550000000000005</c:v>
                </c:pt>
                <c:pt idx="176">
                  <c:v>0.53</c:v>
                </c:pt>
                <c:pt idx="177">
                  <c:v>0.72230000000000005</c:v>
                </c:pt>
                <c:pt idx="178">
                  <c:v>0.61550000000000005</c:v>
                </c:pt>
                <c:pt idx="179">
                  <c:v>0.63680000000000003</c:v>
                </c:pt>
                <c:pt idx="180">
                  <c:v>0.65939999999999999</c:v>
                </c:pt>
                <c:pt idx="181">
                  <c:v>0.65939999999999999</c:v>
                </c:pt>
                <c:pt idx="182">
                  <c:v>0.5837</c:v>
                </c:pt>
                <c:pt idx="183">
                  <c:v>0.754</c:v>
                </c:pt>
                <c:pt idx="184">
                  <c:v>0.65939999999999999</c:v>
                </c:pt>
                <c:pt idx="185">
                  <c:v>0.67830000000000001</c:v>
                </c:pt>
                <c:pt idx="186">
                  <c:v>0.76100000000000001</c:v>
                </c:pt>
                <c:pt idx="187">
                  <c:v>0.76100000000000001</c:v>
                </c:pt>
                <c:pt idx="188">
                  <c:v>0.70789999999999997</c:v>
                </c:pt>
                <c:pt idx="189">
                  <c:v>0.82740000000000002</c:v>
                </c:pt>
                <c:pt idx="190">
                  <c:v>0.76100000000000001</c:v>
                </c:pt>
                <c:pt idx="191">
                  <c:v>0.77429999999999999</c:v>
                </c:pt>
                <c:pt idx="192">
                  <c:v>0.77700000000000002</c:v>
                </c:pt>
                <c:pt idx="193">
                  <c:v>0.77700000000000002</c:v>
                </c:pt>
                <c:pt idx="194">
                  <c:v>0.72740000000000005</c:v>
                </c:pt>
                <c:pt idx="195">
                  <c:v>0.83889999999999998</c:v>
                </c:pt>
                <c:pt idx="196">
                  <c:v>0.77700000000000002</c:v>
                </c:pt>
                <c:pt idx="197">
                  <c:v>0.78939999999999999</c:v>
                </c:pt>
                <c:pt idx="198">
                  <c:v>0.68359999999999999</c:v>
                </c:pt>
                <c:pt idx="199">
                  <c:v>0.68359999999999999</c:v>
                </c:pt>
                <c:pt idx="200">
                  <c:v>0.61329999999999996</c:v>
                </c:pt>
                <c:pt idx="201">
                  <c:v>0.77149999999999996</c:v>
                </c:pt>
                <c:pt idx="202">
                  <c:v>0.68359999999999999</c:v>
                </c:pt>
                <c:pt idx="203">
                  <c:v>0.70120000000000005</c:v>
                </c:pt>
                <c:pt idx="204">
                  <c:v>0.60829999999999995</c:v>
                </c:pt>
                <c:pt idx="205">
                  <c:v>0.60829999999999995</c:v>
                </c:pt>
                <c:pt idx="206">
                  <c:v>0.52129999999999999</c:v>
                </c:pt>
                <c:pt idx="207">
                  <c:v>0.71709999999999996</c:v>
                </c:pt>
                <c:pt idx="208">
                  <c:v>0.60829999999999995</c:v>
                </c:pt>
                <c:pt idx="209">
                  <c:v>0.63009999999999999</c:v>
                </c:pt>
                <c:pt idx="210">
                  <c:v>0.50780000000000003</c:v>
                </c:pt>
                <c:pt idx="211">
                  <c:v>0.50780000000000003</c:v>
                </c:pt>
                <c:pt idx="212">
                  <c:v>0.39839999999999998</c:v>
                </c:pt>
                <c:pt idx="213">
                  <c:v>0.64449999999999996</c:v>
                </c:pt>
                <c:pt idx="214">
                  <c:v>0.50780000000000003</c:v>
                </c:pt>
                <c:pt idx="215">
                  <c:v>0.53520000000000001</c:v>
                </c:pt>
                <c:pt idx="216">
                  <c:v>0.4375</c:v>
                </c:pt>
                <c:pt idx="217">
                  <c:v>0.4375</c:v>
                </c:pt>
                <c:pt idx="218">
                  <c:v>0.3125</c:v>
                </c:pt>
                <c:pt idx="219">
                  <c:v>0.59379999999999999</c:v>
                </c:pt>
                <c:pt idx="220">
                  <c:v>0.4375</c:v>
                </c:pt>
                <c:pt idx="221">
                  <c:v>0.46879999999999999</c:v>
                </c:pt>
                <c:pt idx="222">
                  <c:v>0.5847</c:v>
                </c:pt>
                <c:pt idx="223">
                  <c:v>0.5847</c:v>
                </c:pt>
                <c:pt idx="224">
                  <c:v>0.4924</c:v>
                </c:pt>
                <c:pt idx="225">
                  <c:v>0.70009999999999994</c:v>
                </c:pt>
                <c:pt idx="226">
                  <c:v>0.5847</c:v>
                </c:pt>
                <c:pt idx="227">
                  <c:v>0.60780000000000001</c:v>
                </c:pt>
                <c:pt idx="228">
                  <c:v>0.6704</c:v>
                </c:pt>
                <c:pt idx="229">
                  <c:v>0.6704</c:v>
                </c:pt>
                <c:pt idx="230">
                  <c:v>0.59719999999999995</c:v>
                </c:pt>
                <c:pt idx="231">
                  <c:v>0.76200000000000001</c:v>
                </c:pt>
                <c:pt idx="232">
                  <c:v>0.6704</c:v>
                </c:pt>
                <c:pt idx="233">
                  <c:v>0.68869999999999998</c:v>
                </c:pt>
                <c:pt idx="234">
                  <c:v>0.76929999999999998</c:v>
                </c:pt>
                <c:pt idx="235">
                  <c:v>0.76929999999999998</c:v>
                </c:pt>
                <c:pt idx="236">
                  <c:v>0.71799999999999997</c:v>
                </c:pt>
                <c:pt idx="237">
                  <c:v>0.83340000000000003</c:v>
                </c:pt>
                <c:pt idx="238">
                  <c:v>0.76929999999999998</c:v>
                </c:pt>
                <c:pt idx="239">
                  <c:v>0.78210000000000002</c:v>
                </c:pt>
                <c:pt idx="240">
                  <c:v>0.70120000000000005</c:v>
                </c:pt>
                <c:pt idx="241">
                  <c:v>0.70120000000000005</c:v>
                </c:pt>
                <c:pt idx="242">
                  <c:v>0.63480000000000003</c:v>
                </c:pt>
                <c:pt idx="243">
                  <c:v>0.78420000000000001</c:v>
                </c:pt>
                <c:pt idx="244">
                  <c:v>0.70120000000000005</c:v>
                </c:pt>
                <c:pt idx="245">
                  <c:v>0.71779999999999999</c:v>
                </c:pt>
                <c:pt idx="246">
                  <c:v>0.69350000000000001</c:v>
                </c:pt>
                <c:pt idx="247">
                  <c:v>0.69350000000000001</c:v>
                </c:pt>
                <c:pt idx="248">
                  <c:v>0.62539999999999996</c:v>
                </c:pt>
                <c:pt idx="249">
                  <c:v>0.77859999999999996</c:v>
                </c:pt>
                <c:pt idx="250">
                  <c:v>0.69350000000000001</c:v>
                </c:pt>
                <c:pt idx="251">
                  <c:v>0.71050000000000002</c:v>
                </c:pt>
                <c:pt idx="252">
                  <c:v>0.621</c:v>
                </c:pt>
                <c:pt idx="253">
                  <c:v>0.621</c:v>
                </c:pt>
                <c:pt idx="254">
                  <c:v>0.53669999999999995</c:v>
                </c:pt>
                <c:pt idx="255">
                  <c:v>0.72629999999999995</c:v>
                </c:pt>
                <c:pt idx="256">
                  <c:v>0.621</c:v>
                </c:pt>
                <c:pt idx="257">
                  <c:v>0.64200000000000002</c:v>
                </c:pt>
                <c:pt idx="258">
                  <c:v>0.60170000000000001</c:v>
                </c:pt>
                <c:pt idx="259">
                  <c:v>0.60170000000000001</c:v>
                </c:pt>
                <c:pt idx="260">
                  <c:v>0.51319999999999999</c:v>
                </c:pt>
                <c:pt idx="261">
                  <c:v>0.71240000000000003</c:v>
                </c:pt>
                <c:pt idx="262">
                  <c:v>0.60170000000000001</c:v>
                </c:pt>
                <c:pt idx="263">
                  <c:v>0.62390000000000001</c:v>
                </c:pt>
                <c:pt idx="264">
                  <c:v>0.70009999999999994</c:v>
                </c:pt>
                <c:pt idx="265">
                  <c:v>0.70009999999999994</c:v>
                </c:pt>
                <c:pt idx="266">
                  <c:v>0.63339999999999996</c:v>
                </c:pt>
                <c:pt idx="267">
                  <c:v>0.78339999999999999</c:v>
                </c:pt>
                <c:pt idx="268">
                  <c:v>0.70009999999999994</c:v>
                </c:pt>
                <c:pt idx="269">
                  <c:v>0.7167</c:v>
                </c:pt>
                <c:pt idx="270">
                  <c:v>0.74509999999999998</c:v>
                </c:pt>
                <c:pt idx="271">
                  <c:v>0.74509999999999998</c:v>
                </c:pt>
                <c:pt idx="272">
                  <c:v>0.6885</c:v>
                </c:pt>
                <c:pt idx="273">
                  <c:v>0.81589999999999996</c:v>
                </c:pt>
                <c:pt idx="274">
                  <c:v>0.74509999999999998</c:v>
                </c:pt>
                <c:pt idx="275">
                  <c:v>0.75929999999999997</c:v>
                </c:pt>
                <c:pt idx="276">
                  <c:v>0.70340000000000003</c:v>
                </c:pt>
                <c:pt idx="277">
                  <c:v>0.70340000000000003</c:v>
                </c:pt>
                <c:pt idx="278">
                  <c:v>0.63749999999999996</c:v>
                </c:pt>
                <c:pt idx="279">
                  <c:v>0.78580000000000005</c:v>
                </c:pt>
                <c:pt idx="280">
                  <c:v>0.70340000000000003</c:v>
                </c:pt>
                <c:pt idx="281">
                  <c:v>0.7198</c:v>
                </c:pt>
                <c:pt idx="282">
                  <c:v>0.69240000000000002</c:v>
                </c:pt>
                <c:pt idx="283">
                  <c:v>0.69240000000000002</c:v>
                </c:pt>
                <c:pt idx="284">
                  <c:v>0.624</c:v>
                </c:pt>
                <c:pt idx="285">
                  <c:v>0.77780000000000005</c:v>
                </c:pt>
                <c:pt idx="286">
                  <c:v>0.69240000000000002</c:v>
                </c:pt>
                <c:pt idx="287">
                  <c:v>0.70950000000000002</c:v>
                </c:pt>
                <c:pt idx="288">
                  <c:v>0.63749999999999996</c:v>
                </c:pt>
                <c:pt idx="289">
                  <c:v>0.63749999999999996</c:v>
                </c:pt>
                <c:pt idx="290">
                  <c:v>0.55689999999999995</c:v>
                </c:pt>
                <c:pt idx="291">
                  <c:v>0.73819999999999997</c:v>
                </c:pt>
                <c:pt idx="292">
                  <c:v>0.63749999999999996</c:v>
                </c:pt>
                <c:pt idx="293">
                  <c:v>0.65759999999999996</c:v>
                </c:pt>
                <c:pt idx="294">
                  <c:v>0.58579999999999999</c:v>
                </c:pt>
                <c:pt idx="295">
                  <c:v>0.58579999999999999</c:v>
                </c:pt>
                <c:pt idx="296">
                  <c:v>0.49380000000000002</c:v>
                </c:pt>
                <c:pt idx="297">
                  <c:v>0.70089999999999997</c:v>
                </c:pt>
                <c:pt idx="298">
                  <c:v>0.58579999999999999</c:v>
                </c:pt>
                <c:pt idx="299">
                  <c:v>0.60880000000000001</c:v>
                </c:pt>
                <c:pt idx="300">
                  <c:v>0.65969999999999995</c:v>
                </c:pt>
                <c:pt idx="301">
                  <c:v>0.65969999999999995</c:v>
                </c:pt>
                <c:pt idx="302">
                  <c:v>0.58409999999999995</c:v>
                </c:pt>
                <c:pt idx="303">
                  <c:v>0.75419999999999998</c:v>
                </c:pt>
                <c:pt idx="304">
                  <c:v>0.65969999999999995</c:v>
                </c:pt>
                <c:pt idx="305">
                  <c:v>0.67859999999999998</c:v>
                </c:pt>
                <c:pt idx="306">
                  <c:v>0.40620000000000001</c:v>
                </c:pt>
                <c:pt idx="307">
                  <c:v>0.5</c:v>
                </c:pt>
                <c:pt idx="308">
                  <c:v>0.40620000000000001</c:v>
                </c:pt>
                <c:pt idx="309">
                  <c:v>0.5</c:v>
                </c:pt>
                <c:pt idx="310">
                  <c:v>0.40620000000000001</c:v>
                </c:pt>
                <c:pt idx="311">
                  <c:v>0.5</c:v>
                </c:pt>
                <c:pt idx="312">
                  <c:v>0.40620000000000001</c:v>
                </c:pt>
                <c:pt idx="313">
                  <c:v>0.5</c:v>
                </c:pt>
                <c:pt idx="314">
                  <c:v>0.40620000000000001</c:v>
                </c:pt>
                <c:pt idx="315">
                  <c:v>0.5</c:v>
                </c:pt>
                <c:pt idx="316">
                  <c:v>0.40620000000000001</c:v>
                </c:pt>
                <c:pt idx="317">
                  <c:v>0.5</c:v>
                </c:pt>
              </c:numCache>
            </c:numRef>
          </c:xVal>
          <c:yVal>
            <c:numRef>
              <c:f>results_alexnet_pruned45_cat!$Q$2:$Q$319</c:f>
              <c:numCache>
                <c:formatCode>General</c:formatCode>
                <c:ptCount val="318"/>
                <c:pt idx="0">
                  <c:v>67</c:v>
                </c:pt>
                <c:pt idx="1">
                  <c:v>65</c:v>
                </c:pt>
                <c:pt idx="2">
                  <c:v>60</c:v>
                </c:pt>
                <c:pt idx="3">
                  <c:v>65</c:v>
                </c:pt>
                <c:pt idx="4">
                  <c:v>69</c:v>
                </c:pt>
                <c:pt idx="5">
                  <c:v>68</c:v>
                </c:pt>
                <c:pt idx="6">
                  <c:v>69</c:v>
                </c:pt>
                <c:pt idx="7">
                  <c:v>62</c:v>
                </c:pt>
                <c:pt idx="8">
                  <c:v>67</c:v>
                </c:pt>
                <c:pt idx="9">
                  <c:v>65</c:v>
                </c:pt>
                <c:pt idx="10">
                  <c:v>60</c:v>
                </c:pt>
                <c:pt idx="11">
                  <c:v>65</c:v>
                </c:pt>
                <c:pt idx="12">
                  <c:v>69</c:v>
                </c:pt>
                <c:pt idx="13">
                  <c:v>68</c:v>
                </c:pt>
                <c:pt idx="14">
                  <c:v>69</c:v>
                </c:pt>
                <c:pt idx="15">
                  <c:v>62</c:v>
                </c:pt>
                <c:pt idx="16">
                  <c:v>67</c:v>
                </c:pt>
                <c:pt idx="17">
                  <c:v>65</c:v>
                </c:pt>
                <c:pt idx="18">
                  <c:v>60</c:v>
                </c:pt>
                <c:pt idx="19">
                  <c:v>65</c:v>
                </c:pt>
                <c:pt idx="20">
                  <c:v>69</c:v>
                </c:pt>
                <c:pt idx="21">
                  <c:v>68</c:v>
                </c:pt>
                <c:pt idx="22">
                  <c:v>69</c:v>
                </c:pt>
                <c:pt idx="23">
                  <c:v>62</c:v>
                </c:pt>
                <c:pt idx="24">
                  <c:v>66</c:v>
                </c:pt>
                <c:pt idx="25">
                  <c:v>64</c:v>
                </c:pt>
                <c:pt idx="26">
                  <c:v>59</c:v>
                </c:pt>
                <c:pt idx="27">
                  <c:v>64</c:v>
                </c:pt>
                <c:pt idx="28">
                  <c:v>68</c:v>
                </c:pt>
                <c:pt idx="29">
                  <c:v>67</c:v>
                </c:pt>
                <c:pt idx="30">
                  <c:v>68</c:v>
                </c:pt>
                <c:pt idx="31">
                  <c:v>61</c:v>
                </c:pt>
                <c:pt idx="32">
                  <c:v>67</c:v>
                </c:pt>
                <c:pt idx="33">
                  <c:v>65</c:v>
                </c:pt>
                <c:pt idx="34">
                  <c:v>60</c:v>
                </c:pt>
                <c:pt idx="35">
                  <c:v>65</c:v>
                </c:pt>
                <c:pt idx="36">
                  <c:v>69</c:v>
                </c:pt>
                <c:pt idx="37">
                  <c:v>68</c:v>
                </c:pt>
                <c:pt idx="38">
                  <c:v>69</c:v>
                </c:pt>
                <c:pt idx="39">
                  <c:v>62</c:v>
                </c:pt>
                <c:pt idx="40">
                  <c:v>38</c:v>
                </c:pt>
                <c:pt idx="41">
                  <c:v>36</c:v>
                </c:pt>
                <c:pt idx="42">
                  <c:v>31</c:v>
                </c:pt>
                <c:pt idx="43">
                  <c:v>36</c:v>
                </c:pt>
                <c:pt idx="44">
                  <c:v>40</c:v>
                </c:pt>
                <c:pt idx="45">
                  <c:v>39</c:v>
                </c:pt>
                <c:pt idx="46">
                  <c:v>40</c:v>
                </c:pt>
                <c:pt idx="47">
                  <c:v>33</c:v>
                </c:pt>
                <c:pt idx="48">
                  <c:v>70</c:v>
                </c:pt>
                <c:pt idx="49">
                  <c:v>66</c:v>
                </c:pt>
                <c:pt idx="50">
                  <c:v>64</c:v>
                </c:pt>
                <c:pt idx="51">
                  <c:v>60</c:v>
                </c:pt>
                <c:pt idx="52">
                  <c:v>68</c:v>
                </c:pt>
                <c:pt idx="53">
                  <c:v>64</c:v>
                </c:pt>
                <c:pt idx="54">
                  <c:v>65</c:v>
                </c:pt>
                <c:pt idx="55">
                  <c:v>60</c:v>
                </c:pt>
                <c:pt idx="56">
                  <c:v>63</c:v>
                </c:pt>
                <c:pt idx="57">
                  <c:v>59</c:v>
                </c:pt>
                <c:pt idx="58">
                  <c:v>57</c:v>
                </c:pt>
                <c:pt idx="59">
                  <c:v>53</c:v>
                </c:pt>
                <c:pt idx="60">
                  <c:v>61</c:v>
                </c:pt>
                <c:pt idx="61">
                  <c:v>57</c:v>
                </c:pt>
                <c:pt idx="62">
                  <c:v>58</c:v>
                </c:pt>
                <c:pt idx="63">
                  <c:v>53</c:v>
                </c:pt>
                <c:pt idx="64">
                  <c:v>63</c:v>
                </c:pt>
                <c:pt idx="65">
                  <c:v>59</c:v>
                </c:pt>
                <c:pt idx="66">
                  <c:v>57</c:v>
                </c:pt>
                <c:pt idx="67">
                  <c:v>53</c:v>
                </c:pt>
                <c:pt idx="68">
                  <c:v>61</c:v>
                </c:pt>
                <c:pt idx="69">
                  <c:v>57</c:v>
                </c:pt>
                <c:pt idx="70">
                  <c:v>58</c:v>
                </c:pt>
                <c:pt idx="71">
                  <c:v>53</c:v>
                </c:pt>
                <c:pt idx="72">
                  <c:v>68</c:v>
                </c:pt>
                <c:pt idx="73">
                  <c:v>64</c:v>
                </c:pt>
                <c:pt idx="74">
                  <c:v>62</c:v>
                </c:pt>
                <c:pt idx="75">
                  <c:v>58</c:v>
                </c:pt>
                <c:pt idx="76">
                  <c:v>66</c:v>
                </c:pt>
                <c:pt idx="77">
                  <c:v>62</c:v>
                </c:pt>
                <c:pt idx="78">
                  <c:v>63</c:v>
                </c:pt>
                <c:pt idx="79">
                  <c:v>58</c:v>
                </c:pt>
                <c:pt idx="80">
                  <c:v>71</c:v>
                </c:pt>
                <c:pt idx="81">
                  <c:v>67</c:v>
                </c:pt>
                <c:pt idx="82">
                  <c:v>65</c:v>
                </c:pt>
                <c:pt idx="83">
                  <c:v>61</c:v>
                </c:pt>
                <c:pt idx="84">
                  <c:v>69</c:v>
                </c:pt>
                <c:pt idx="85">
                  <c:v>65</c:v>
                </c:pt>
                <c:pt idx="86">
                  <c:v>66</c:v>
                </c:pt>
                <c:pt idx="87">
                  <c:v>61</c:v>
                </c:pt>
                <c:pt idx="88">
                  <c:v>39</c:v>
                </c:pt>
                <c:pt idx="89">
                  <c:v>35</c:v>
                </c:pt>
                <c:pt idx="90">
                  <c:v>33</c:v>
                </c:pt>
                <c:pt idx="91">
                  <c:v>29</c:v>
                </c:pt>
                <c:pt idx="92">
                  <c:v>37</c:v>
                </c:pt>
                <c:pt idx="93">
                  <c:v>33</c:v>
                </c:pt>
                <c:pt idx="94">
                  <c:v>34</c:v>
                </c:pt>
                <c:pt idx="95">
                  <c:v>29</c:v>
                </c:pt>
                <c:pt idx="96">
                  <c:v>44</c:v>
                </c:pt>
                <c:pt idx="97">
                  <c:v>45</c:v>
                </c:pt>
                <c:pt idx="98">
                  <c:v>45</c:v>
                </c:pt>
                <c:pt idx="99">
                  <c:v>43</c:v>
                </c:pt>
                <c:pt idx="100">
                  <c:v>46</c:v>
                </c:pt>
                <c:pt idx="101">
                  <c:v>46</c:v>
                </c:pt>
                <c:pt idx="102">
                  <c:v>48</c:v>
                </c:pt>
                <c:pt idx="103">
                  <c:v>49</c:v>
                </c:pt>
                <c:pt idx="104">
                  <c:v>45</c:v>
                </c:pt>
                <c:pt idx="105">
                  <c:v>47</c:v>
                </c:pt>
                <c:pt idx="106">
                  <c:v>48</c:v>
                </c:pt>
                <c:pt idx="107">
                  <c:v>41</c:v>
                </c:pt>
                <c:pt idx="108">
                  <c:v>51</c:v>
                </c:pt>
                <c:pt idx="109">
                  <c:v>52</c:v>
                </c:pt>
                <c:pt idx="110">
                  <c:v>52</c:v>
                </c:pt>
                <c:pt idx="111">
                  <c:v>50</c:v>
                </c:pt>
                <c:pt idx="112">
                  <c:v>53</c:v>
                </c:pt>
                <c:pt idx="113">
                  <c:v>53</c:v>
                </c:pt>
                <c:pt idx="114">
                  <c:v>55</c:v>
                </c:pt>
                <c:pt idx="115">
                  <c:v>56</c:v>
                </c:pt>
                <c:pt idx="116">
                  <c:v>52</c:v>
                </c:pt>
                <c:pt idx="117">
                  <c:v>54</c:v>
                </c:pt>
                <c:pt idx="118">
                  <c:v>55</c:v>
                </c:pt>
                <c:pt idx="119">
                  <c:v>48</c:v>
                </c:pt>
                <c:pt idx="120">
                  <c:v>41</c:v>
                </c:pt>
                <c:pt idx="121">
                  <c:v>42</c:v>
                </c:pt>
                <c:pt idx="122">
                  <c:v>42</c:v>
                </c:pt>
                <c:pt idx="123">
                  <c:v>40</c:v>
                </c:pt>
                <c:pt idx="124">
                  <c:v>43</c:v>
                </c:pt>
                <c:pt idx="125">
                  <c:v>43</c:v>
                </c:pt>
                <c:pt idx="126">
                  <c:v>45</c:v>
                </c:pt>
                <c:pt idx="127">
                  <c:v>46</c:v>
                </c:pt>
                <c:pt idx="128">
                  <c:v>42</c:v>
                </c:pt>
                <c:pt idx="129">
                  <c:v>44</c:v>
                </c:pt>
                <c:pt idx="130">
                  <c:v>45</c:v>
                </c:pt>
                <c:pt idx="131">
                  <c:v>38</c:v>
                </c:pt>
                <c:pt idx="132">
                  <c:v>30</c:v>
                </c:pt>
                <c:pt idx="133">
                  <c:v>31</c:v>
                </c:pt>
                <c:pt idx="134">
                  <c:v>31</c:v>
                </c:pt>
                <c:pt idx="135">
                  <c:v>29</c:v>
                </c:pt>
                <c:pt idx="136">
                  <c:v>32</c:v>
                </c:pt>
                <c:pt idx="137">
                  <c:v>32</c:v>
                </c:pt>
                <c:pt idx="138">
                  <c:v>34</c:v>
                </c:pt>
                <c:pt idx="139">
                  <c:v>35</c:v>
                </c:pt>
                <c:pt idx="140">
                  <c:v>31</c:v>
                </c:pt>
                <c:pt idx="141">
                  <c:v>33</c:v>
                </c:pt>
                <c:pt idx="142">
                  <c:v>34</c:v>
                </c:pt>
                <c:pt idx="143">
                  <c:v>27</c:v>
                </c:pt>
                <c:pt idx="144">
                  <c:v>45</c:v>
                </c:pt>
                <c:pt idx="145">
                  <c:v>46</c:v>
                </c:pt>
                <c:pt idx="146">
                  <c:v>46</c:v>
                </c:pt>
                <c:pt idx="147">
                  <c:v>44</c:v>
                </c:pt>
                <c:pt idx="148">
                  <c:v>47</c:v>
                </c:pt>
                <c:pt idx="149">
                  <c:v>47</c:v>
                </c:pt>
                <c:pt idx="150">
                  <c:v>49</c:v>
                </c:pt>
                <c:pt idx="151">
                  <c:v>50</c:v>
                </c:pt>
                <c:pt idx="152">
                  <c:v>46</c:v>
                </c:pt>
                <c:pt idx="153">
                  <c:v>48</c:v>
                </c:pt>
                <c:pt idx="154">
                  <c:v>49</c:v>
                </c:pt>
                <c:pt idx="155">
                  <c:v>42</c:v>
                </c:pt>
                <c:pt idx="156">
                  <c:v>26</c:v>
                </c:pt>
                <c:pt idx="157">
                  <c:v>27</c:v>
                </c:pt>
                <c:pt idx="158">
                  <c:v>27</c:v>
                </c:pt>
                <c:pt idx="159">
                  <c:v>25</c:v>
                </c:pt>
                <c:pt idx="160">
                  <c:v>28</c:v>
                </c:pt>
                <c:pt idx="161">
                  <c:v>28</c:v>
                </c:pt>
                <c:pt idx="162">
                  <c:v>30</c:v>
                </c:pt>
                <c:pt idx="163">
                  <c:v>31</c:v>
                </c:pt>
                <c:pt idx="164">
                  <c:v>27</c:v>
                </c:pt>
                <c:pt idx="165">
                  <c:v>29</c:v>
                </c:pt>
                <c:pt idx="166">
                  <c:v>30</c:v>
                </c:pt>
                <c:pt idx="167">
                  <c:v>23</c:v>
                </c:pt>
                <c:pt idx="168">
                  <c:v>58</c:v>
                </c:pt>
                <c:pt idx="169">
                  <c:v>58</c:v>
                </c:pt>
                <c:pt idx="170">
                  <c:v>62</c:v>
                </c:pt>
                <c:pt idx="171">
                  <c:v>53</c:v>
                </c:pt>
                <c:pt idx="172">
                  <c:v>58</c:v>
                </c:pt>
                <c:pt idx="173">
                  <c:v>57</c:v>
                </c:pt>
                <c:pt idx="174">
                  <c:v>69</c:v>
                </c:pt>
                <c:pt idx="175">
                  <c:v>69</c:v>
                </c:pt>
                <c:pt idx="176">
                  <c:v>73</c:v>
                </c:pt>
                <c:pt idx="177">
                  <c:v>64</c:v>
                </c:pt>
                <c:pt idx="178">
                  <c:v>69</c:v>
                </c:pt>
                <c:pt idx="179">
                  <c:v>68</c:v>
                </c:pt>
                <c:pt idx="180">
                  <c:v>67</c:v>
                </c:pt>
                <c:pt idx="181">
                  <c:v>67</c:v>
                </c:pt>
                <c:pt idx="182">
                  <c:v>71</c:v>
                </c:pt>
                <c:pt idx="183">
                  <c:v>62</c:v>
                </c:pt>
                <c:pt idx="184">
                  <c:v>67</c:v>
                </c:pt>
                <c:pt idx="185">
                  <c:v>66</c:v>
                </c:pt>
                <c:pt idx="186">
                  <c:v>60</c:v>
                </c:pt>
                <c:pt idx="187">
                  <c:v>60</c:v>
                </c:pt>
                <c:pt idx="188">
                  <c:v>64</c:v>
                </c:pt>
                <c:pt idx="189">
                  <c:v>55</c:v>
                </c:pt>
                <c:pt idx="190">
                  <c:v>60</c:v>
                </c:pt>
                <c:pt idx="191">
                  <c:v>59</c:v>
                </c:pt>
                <c:pt idx="192">
                  <c:v>59</c:v>
                </c:pt>
                <c:pt idx="193">
                  <c:v>59</c:v>
                </c:pt>
                <c:pt idx="194">
                  <c:v>63</c:v>
                </c:pt>
                <c:pt idx="195">
                  <c:v>54</c:v>
                </c:pt>
                <c:pt idx="196">
                  <c:v>59</c:v>
                </c:pt>
                <c:pt idx="197">
                  <c:v>58</c:v>
                </c:pt>
                <c:pt idx="198">
                  <c:v>66</c:v>
                </c:pt>
                <c:pt idx="199">
                  <c:v>66</c:v>
                </c:pt>
                <c:pt idx="200">
                  <c:v>70</c:v>
                </c:pt>
                <c:pt idx="201">
                  <c:v>61</c:v>
                </c:pt>
                <c:pt idx="202">
                  <c:v>66</c:v>
                </c:pt>
                <c:pt idx="203">
                  <c:v>65</c:v>
                </c:pt>
                <c:pt idx="204">
                  <c:v>70</c:v>
                </c:pt>
                <c:pt idx="205">
                  <c:v>70</c:v>
                </c:pt>
                <c:pt idx="206">
                  <c:v>74</c:v>
                </c:pt>
                <c:pt idx="207">
                  <c:v>65</c:v>
                </c:pt>
                <c:pt idx="208">
                  <c:v>70</c:v>
                </c:pt>
                <c:pt idx="209">
                  <c:v>69</c:v>
                </c:pt>
                <c:pt idx="210">
                  <c:v>76</c:v>
                </c:pt>
                <c:pt idx="211">
                  <c:v>76</c:v>
                </c:pt>
                <c:pt idx="212">
                  <c:v>80</c:v>
                </c:pt>
                <c:pt idx="213">
                  <c:v>71</c:v>
                </c:pt>
                <c:pt idx="214">
                  <c:v>76</c:v>
                </c:pt>
                <c:pt idx="215">
                  <c:v>75</c:v>
                </c:pt>
                <c:pt idx="216">
                  <c:v>80</c:v>
                </c:pt>
                <c:pt idx="217">
                  <c:v>80</c:v>
                </c:pt>
                <c:pt idx="218">
                  <c:v>84</c:v>
                </c:pt>
                <c:pt idx="219">
                  <c:v>75</c:v>
                </c:pt>
                <c:pt idx="220">
                  <c:v>80</c:v>
                </c:pt>
                <c:pt idx="221">
                  <c:v>79</c:v>
                </c:pt>
                <c:pt idx="222">
                  <c:v>71</c:v>
                </c:pt>
                <c:pt idx="223">
                  <c:v>71</c:v>
                </c:pt>
                <c:pt idx="224">
                  <c:v>75</c:v>
                </c:pt>
                <c:pt idx="225">
                  <c:v>66</c:v>
                </c:pt>
                <c:pt idx="226">
                  <c:v>71</c:v>
                </c:pt>
                <c:pt idx="227">
                  <c:v>70</c:v>
                </c:pt>
                <c:pt idx="228">
                  <c:v>66</c:v>
                </c:pt>
                <c:pt idx="229">
                  <c:v>66</c:v>
                </c:pt>
                <c:pt idx="230">
                  <c:v>70</c:v>
                </c:pt>
                <c:pt idx="231">
                  <c:v>61</c:v>
                </c:pt>
                <c:pt idx="232">
                  <c:v>66</c:v>
                </c:pt>
                <c:pt idx="233">
                  <c:v>65</c:v>
                </c:pt>
                <c:pt idx="234">
                  <c:v>59</c:v>
                </c:pt>
                <c:pt idx="235">
                  <c:v>59</c:v>
                </c:pt>
                <c:pt idx="236">
                  <c:v>63</c:v>
                </c:pt>
                <c:pt idx="237">
                  <c:v>54</c:v>
                </c:pt>
                <c:pt idx="238">
                  <c:v>59</c:v>
                </c:pt>
                <c:pt idx="239">
                  <c:v>58</c:v>
                </c:pt>
                <c:pt idx="240">
                  <c:v>65</c:v>
                </c:pt>
                <c:pt idx="241">
                  <c:v>65</c:v>
                </c:pt>
                <c:pt idx="242">
                  <c:v>69</c:v>
                </c:pt>
                <c:pt idx="243">
                  <c:v>60</c:v>
                </c:pt>
                <c:pt idx="244">
                  <c:v>65</c:v>
                </c:pt>
                <c:pt idx="245">
                  <c:v>64</c:v>
                </c:pt>
                <c:pt idx="246">
                  <c:v>65</c:v>
                </c:pt>
                <c:pt idx="247">
                  <c:v>65</c:v>
                </c:pt>
                <c:pt idx="248">
                  <c:v>69</c:v>
                </c:pt>
                <c:pt idx="249">
                  <c:v>60</c:v>
                </c:pt>
                <c:pt idx="250">
                  <c:v>65</c:v>
                </c:pt>
                <c:pt idx="251">
                  <c:v>64</c:v>
                </c:pt>
                <c:pt idx="252">
                  <c:v>69</c:v>
                </c:pt>
                <c:pt idx="253">
                  <c:v>69</c:v>
                </c:pt>
                <c:pt idx="254">
                  <c:v>73</c:v>
                </c:pt>
                <c:pt idx="255">
                  <c:v>64</c:v>
                </c:pt>
                <c:pt idx="256">
                  <c:v>69</c:v>
                </c:pt>
                <c:pt idx="257">
                  <c:v>68</c:v>
                </c:pt>
                <c:pt idx="258">
                  <c:v>70</c:v>
                </c:pt>
                <c:pt idx="259">
                  <c:v>70</c:v>
                </c:pt>
                <c:pt idx="260">
                  <c:v>74</c:v>
                </c:pt>
                <c:pt idx="261">
                  <c:v>65</c:v>
                </c:pt>
                <c:pt idx="262">
                  <c:v>70</c:v>
                </c:pt>
                <c:pt idx="263">
                  <c:v>69</c:v>
                </c:pt>
                <c:pt idx="264">
                  <c:v>63</c:v>
                </c:pt>
                <c:pt idx="265">
                  <c:v>63</c:v>
                </c:pt>
                <c:pt idx="266">
                  <c:v>67</c:v>
                </c:pt>
                <c:pt idx="267">
                  <c:v>58</c:v>
                </c:pt>
                <c:pt idx="268">
                  <c:v>63</c:v>
                </c:pt>
                <c:pt idx="269">
                  <c:v>62</c:v>
                </c:pt>
                <c:pt idx="270">
                  <c:v>61</c:v>
                </c:pt>
                <c:pt idx="271">
                  <c:v>61</c:v>
                </c:pt>
                <c:pt idx="272">
                  <c:v>65</c:v>
                </c:pt>
                <c:pt idx="273">
                  <c:v>56</c:v>
                </c:pt>
                <c:pt idx="274">
                  <c:v>61</c:v>
                </c:pt>
                <c:pt idx="275">
                  <c:v>60</c:v>
                </c:pt>
                <c:pt idx="276">
                  <c:v>64</c:v>
                </c:pt>
                <c:pt idx="277">
                  <c:v>64</c:v>
                </c:pt>
                <c:pt idx="278">
                  <c:v>68</c:v>
                </c:pt>
                <c:pt idx="279">
                  <c:v>59</c:v>
                </c:pt>
                <c:pt idx="280">
                  <c:v>64</c:v>
                </c:pt>
                <c:pt idx="281">
                  <c:v>63</c:v>
                </c:pt>
                <c:pt idx="282">
                  <c:v>64</c:v>
                </c:pt>
                <c:pt idx="283">
                  <c:v>64</c:v>
                </c:pt>
                <c:pt idx="284">
                  <c:v>68</c:v>
                </c:pt>
                <c:pt idx="285">
                  <c:v>59</c:v>
                </c:pt>
                <c:pt idx="286">
                  <c:v>64</c:v>
                </c:pt>
                <c:pt idx="287">
                  <c:v>63</c:v>
                </c:pt>
                <c:pt idx="288">
                  <c:v>68</c:v>
                </c:pt>
                <c:pt idx="289">
                  <c:v>68</c:v>
                </c:pt>
                <c:pt idx="290">
                  <c:v>72</c:v>
                </c:pt>
                <c:pt idx="291">
                  <c:v>63</c:v>
                </c:pt>
                <c:pt idx="292">
                  <c:v>68</c:v>
                </c:pt>
                <c:pt idx="293">
                  <c:v>67</c:v>
                </c:pt>
                <c:pt idx="294">
                  <c:v>71</c:v>
                </c:pt>
                <c:pt idx="295">
                  <c:v>71</c:v>
                </c:pt>
                <c:pt idx="296">
                  <c:v>75</c:v>
                </c:pt>
                <c:pt idx="297">
                  <c:v>66</c:v>
                </c:pt>
                <c:pt idx="298">
                  <c:v>71</c:v>
                </c:pt>
                <c:pt idx="299">
                  <c:v>70</c:v>
                </c:pt>
                <c:pt idx="300">
                  <c:v>60</c:v>
                </c:pt>
                <c:pt idx="301">
                  <c:v>60</c:v>
                </c:pt>
                <c:pt idx="302">
                  <c:v>64</c:v>
                </c:pt>
                <c:pt idx="303">
                  <c:v>55</c:v>
                </c:pt>
                <c:pt idx="304">
                  <c:v>60</c:v>
                </c:pt>
                <c:pt idx="305">
                  <c:v>59</c:v>
                </c:pt>
                <c:pt idx="306">
                  <c:v>81</c:v>
                </c:pt>
                <c:pt idx="307">
                  <c:v>78</c:v>
                </c:pt>
                <c:pt idx="308">
                  <c:v>81</c:v>
                </c:pt>
                <c:pt idx="309">
                  <c:v>78</c:v>
                </c:pt>
                <c:pt idx="310">
                  <c:v>81</c:v>
                </c:pt>
                <c:pt idx="311">
                  <c:v>78</c:v>
                </c:pt>
                <c:pt idx="312">
                  <c:v>81</c:v>
                </c:pt>
                <c:pt idx="313">
                  <c:v>78</c:v>
                </c:pt>
                <c:pt idx="314">
                  <c:v>81</c:v>
                </c:pt>
                <c:pt idx="315">
                  <c:v>78</c:v>
                </c:pt>
                <c:pt idx="316">
                  <c:v>58</c:v>
                </c:pt>
                <c:pt idx="317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8-4825-8A53-59434C93C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350896"/>
        <c:axId val="1023360496"/>
      </c:scatterChart>
      <c:valAx>
        <c:axId val="102335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</a:t>
                </a:r>
                <a:r>
                  <a:rPr lang="en-US" baseline="0"/>
                  <a:t> Reduction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60496"/>
        <c:crosses val="autoZero"/>
        <c:crossBetween val="midCat"/>
      </c:valAx>
      <c:valAx>
        <c:axId val="102336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5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NPU</a:t>
            </a:r>
            <a:r>
              <a:rPr lang="en-NZ" baseline="0"/>
              <a:t> vs CPU Latency Comparison AlexNet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results_alexnet_pruned45_cat!$R$1</c:f>
              <c:strCache>
                <c:ptCount val="1"/>
                <c:pt idx="0">
                  <c:v>cpu_us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F23D-4124-982E-AB17A09F59E3}"/>
              </c:ext>
            </c:extLst>
          </c:dPt>
          <c:cat>
            <c:numRef>
              <c:f>results_alexnet_pruned45_cat!$C$2:$C$319</c:f>
              <c:numCache>
                <c:formatCode>General</c:formatCode>
                <c:ptCount val="3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</c:numCache>
            </c:numRef>
          </c:cat>
          <c:val>
            <c:numRef>
              <c:f>results_alexnet_pruned45_cat!$R$2:$R$319</c:f>
              <c:numCache>
                <c:formatCode>General</c:formatCode>
                <c:ptCount val="318"/>
                <c:pt idx="0">
                  <c:v>41.1</c:v>
                </c:pt>
                <c:pt idx="1">
                  <c:v>105.9</c:v>
                </c:pt>
                <c:pt idx="2">
                  <c:v>83.8</c:v>
                </c:pt>
                <c:pt idx="3">
                  <c:v>39.799999999999997</c:v>
                </c:pt>
                <c:pt idx="4">
                  <c:v>63.1</c:v>
                </c:pt>
                <c:pt idx="5">
                  <c:v>38.299999999999997</c:v>
                </c:pt>
                <c:pt idx="6">
                  <c:v>50</c:v>
                </c:pt>
                <c:pt idx="7">
                  <c:v>40.700000000000003</c:v>
                </c:pt>
                <c:pt idx="8">
                  <c:v>53.6</c:v>
                </c:pt>
                <c:pt idx="9">
                  <c:v>87.7</c:v>
                </c:pt>
                <c:pt idx="10">
                  <c:v>39.4</c:v>
                </c:pt>
                <c:pt idx="11">
                  <c:v>39</c:v>
                </c:pt>
                <c:pt idx="12">
                  <c:v>50.9</c:v>
                </c:pt>
                <c:pt idx="13">
                  <c:v>69.7</c:v>
                </c:pt>
                <c:pt idx="14">
                  <c:v>39.6</c:v>
                </c:pt>
                <c:pt idx="15">
                  <c:v>42.7</c:v>
                </c:pt>
                <c:pt idx="16">
                  <c:v>176.4</c:v>
                </c:pt>
                <c:pt idx="17">
                  <c:v>56</c:v>
                </c:pt>
                <c:pt idx="18">
                  <c:v>94.5</c:v>
                </c:pt>
                <c:pt idx="19">
                  <c:v>38</c:v>
                </c:pt>
                <c:pt idx="20">
                  <c:v>112.8</c:v>
                </c:pt>
                <c:pt idx="21">
                  <c:v>40</c:v>
                </c:pt>
                <c:pt idx="22">
                  <c:v>42.4</c:v>
                </c:pt>
                <c:pt idx="23">
                  <c:v>163.69999999999999</c:v>
                </c:pt>
                <c:pt idx="24">
                  <c:v>68.400000000000006</c:v>
                </c:pt>
                <c:pt idx="25">
                  <c:v>179.5</c:v>
                </c:pt>
                <c:pt idx="26">
                  <c:v>55.9</c:v>
                </c:pt>
                <c:pt idx="27">
                  <c:v>181</c:v>
                </c:pt>
                <c:pt idx="28">
                  <c:v>39</c:v>
                </c:pt>
                <c:pt idx="29">
                  <c:v>39.9</c:v>
                </c:pt>
                <c:pt idx="30">
                  <c:v>58.8</c:v>
                </c:pt>
                <c:pt idx="31">
                  <c:v>39.700000000000003</c:v>
                </c:pt>
                <c:pt idx="32">
                  <c:v>39.700000000000003</c:v>
                </c:pt>
                <c:pt idx="33">
                  <c:v>40.5</c:v>
                </c:pt>
                <c:pt idx="34">
                  <c:v>55.3</c:v>
                </c:pt>
                <c:pt idx="35">
                  <c:v>38.5</c:v>
                </c:pt>
                <c:pt idx="36">
                  <c:v>40.200000000000003</c:v>
                </c:pt>
                <c:pt idx="37">
                  <c:v>39.9</c:v>
                </c:pt>
                <c:pt idx="38">
                  <c:v>53.5</c:v>
                </c:pt>
                <c:pt idx="39">
                  <c:v>40.299999999999997</c:v>
                </c:pt>
                <c:pt idx="40">
                  <c:v>16.7</c:v>
                </c:pt>
                <c:pt idx="41">
                  <c:v>14.5</c:v>
                </c:pt>
                <c:pt idx="42">
                  <c:v>15.6</c:v>
                </c:pt>
                <c:pt idx="43">
                  <c:v>15.7</c:v>
                </c:pt>
                <c:pt idx="44">
                  <c:v>70.3</c:v>
                </c:pt>
                <c:pt idx="45">
                  <c:v>14.8</c:v>
                </c:pt>
                <c:pt idx="46">
                  <c:v>64.400000000000006</c:v>
                </c:pt>
                <c:pt idx="47">
                  <c:v>28</c:v>
                </c:pt>
                <c:pt idx="48">
                  <c:v>41.6</c:v>
                </c:pt>
                <c:pt idx="49">
                  <c:v>41</c:v>
                </c:pt>
                <c:pt idx="50">
                  <c:v>43.6</c:v>
                </c:pt>
                <c:pt idx="51">
                  <c:v>85.4</c:v>
                </c:pt>
                <c:pt idx="52">
                  <c:v>90.9</c:v>
                </c:pt>
                <c:pt idx="53">
                  <c:v>42.2</c:v>
                </c:pt>
                <c:pt idx="54">
                  <c:v>112.2</c:v>
                </c:pt>
                <c:pt idx="55">
                  <c:v>127</c:v>
                </c:pt>
                <c:pt idx="56">
                  <c:v>76.599999999999994</c:v>
                </c:pt>
                <c:pt idx="57">
                  <c:v>43.8</c:v>
                </c:pt>
                <c:pt idx="58">
                  <c:v>162.6</c:v>
                </c:pt>
                <c:pt idx="59">
                  <c:v>40.9</c:v>
                </c:pt>
                <c:pt idx="60">
                  <c:v>41.2</c:v>
                </c:pt>
                <c:pt idx="61">
                  <c:v>41.2</c:v>
                </c:pt>
                <c:pt idx="62">
                  <c:v>78</c:v>
                </c:pt>
                <c:pt idx="63">
                  <c:v>40.6</c:v>
                </c:pt>
                <c:pt idx="64">
                  <c:v>159.9</c:v>
                </c:pt>
                <c:pt idx="65">
                  <c:v>38.700000000000003</c:v>
                </c:pt>
                <c:pt idx="66">
                  <c:v>45.3</c:v>
                </c:pt>
                <c:pt idx="67">
                  <c:v>50.3</c:v>
                </c:pt>
                <c:pt idx="68">
                  <c:v>69.400000000000006</c:v>
                </c:pt>
                <c:pt idx="69">
                  <c:v>47.8</c:v>
                </c:pt>
                <c:pt idx="70">
                  <c:v>156.80000000000001</c:v>
                </c:pt>
                <c:pt idx="71">
                  <c:v>177.6</c:v>
                </c:pt>
                <c:pt idx="72">
                  <c:v>75.7</c:v>
                </c:pt>
                <c:pt idx="73">
                  <c:v>111.3</c:v>
                </c:pt>
                <c:pt idx="74">
                  <c:v>115.1</c:v>
                </c:pt>
                <c:pt idx="75">
                  <c:v>102.6</c:v>
                </c:pt>
                <c:pt idx="76">
                  <c:v>50.3</c:v>
                </c:pt>
                <c:pt idx="77">
                  <c:v>49.6</c:v>
                </c:pt>
                <c:pt idx="78">
                  <c:v>48.9</c:v>
                </c:pt>
                <c:pt idx="79">
                  <c:v>60.2</c:v>
                </c:pt>
                <c:pt idx="80">
                  <c:v>70.099999999999994</c:v>
                </c:pt>
                <c:pt idx="81">
                  <c:v>41.2</c:v>
                </c:pt>
                <c:pt idx="82">
                  <c:v>139.69999999999999</c:v>
                </c:pt>
                <c:pt idx="83">
                  <c:v>113.2</c:v>
                </c:pt>
                <c:pt idx="84">
                  <c:v>45.9</c:v>
                </c:pt>
                <c:pt idx="85">
                  <c:v>50.1</c:v>
                </c:pt>
                <c:pt idx="86">
                  <c:v>47.7</c:v>
                </c:pt>
                <c:pt idx="87">
                  <c:v>50.1</c:v>
                </c:pt>
                <c:pt idx="88">
                  <c:v>54.7</c:v>
                </c:pt>
                <c:pt idx="89">
                  <c:v>14.5</c:v>
                </c:pt>
                <c:pt idx="90">
                  <c:v>20.6</c:v>
                </c:pt>
                <c:pt idx="91">
                  <c:v>15.3</c:v>
                </c:pt>
                <c:pt idx="92">
                  <c:v>34</c:v>
                </c:pt>
                <c:pt idx="93">
                  <c:v>59.6</c:v>
                </c:pt>
                <c:pt idx="94">
                  <c:v>18</c:v>
                </c:pt>
                <c:pt idx="95">
                  <c:v>14.7</c:v>
                </c:pt>
                <c:pt idx="96">
                  <c:v>44.3</c:v>
                </c:pt>
                <c:pt idx="97">
                  <c:v>49.2</c:v>
                </c:pt>
                <c:pt idx="98">
                  <c:v>48.6</c:v>
                </c:pt>
                <c:pt idx="99">
                  <c:v>88.8</c:v>
                </c:pt>
                <c:pt idx="100">
                  <c:v>49.1</c:v>
                </c:pt>
                <c:pt idx="101">
                  <c:v>50.7</c:v>
                </c:pt>
                <c:pt idx="102">
                  <c:v>49.3</c:v>
                </c:pt>
                <c:pt idx="103">
                  <c:v>47.9</c:v>
                </c:pt>
                <c:pt idx="104">
                  <c:v>160.69999999999999</c:v>
                </c:pt>
                <c:pt idx="105">
                  <c:v>40.200000000000003</c:v>
                </c:pt>
                <c:pt idx="106">
                  <c:v>60.1</c:v>
                </c:pt>
                <c:pt idx="107">
                  <c:v>48.5</c:v>
                </c:pt>
                <c:pt idx="108">
                  <c:v>37.700000000000003</c:v>
                </c:pt>
                <c:pt idx="109">
                  <c:v>72.099999999999994</c:v>
                </c:pt>
                <c:pt idx="110">
                  <c:v>39.299999999999997</c:v>
                </c:pt>
                <c:pt idx="111">
                  <c:v>52.9</c:v>
                </c:pt>
                <c:pt idx="112">
                  <c:v>70.099999999999994</c:v>
                </c:pt>
                <c:pt idx="113">
                  <c:v>121.2</c:v>
                </c:pt>
                <c:pt idx="114">
                  <c:v>48.5</c:v>
                </c:pt>
                <c:pt idx="115">
                  <c:v>49</c:v>
                </c:pt>
                <c:pt idx="116">
                  <c:v>107.5</c:v>
                </c:pt>
                <c:pt idx="117">
                  <c:v>111.4</c:v>
                </c:pt>
                <c:pt idx="118">
                  <c:v>123.8</c:v>
                </c:pt>
                <c:pt idx="119">
                  <c:v>66.599999999999994</c:v>
                </c:pt>
                <c:pt idx="120">
                  <c:v>47</c:v>
                </c:pt>
                <c:pt idx="121">
                  <c:v>60.9</c:v>
                </c:pt>
                <c:pt idx="122">
                  <c:v>180.7</c:v>
                </c:pt>
                <c:pt idx="123">
                  <c:v>176.3</c:v>
                </c:pt>
                <c:pt idx="124">
                  <c:v>60.4</c:v>
                </c:pt>
                <c:pt idx="125">
                  <c:v>50.2</c:v>
                </c:pt>
                <c:pt idx="126">
                  <c:v>45.1</c:v>
                </c:pt>
                <c:pt idx="127">
                  <c:v>41.2</c:v>
                </c:pt>
                <c:pt idx="128">
                  <c:v>144.4</c:v>
                </c:pt>
                <c:pt idx="129">
                  <c:v>39.700000000000003</c:v>
                </c:pt>
                <c:pt idx="130">
                  <c:v>60.1</c:v>
                </c:pt>
                <c:pt idx="131">
                  <c:v>162.19999999999999</c:v>
                </c:pt>
                <c:pt idx="132">
                  <c:v>70.8</c:v>
                </c:pt>
                <c:pt idx="133">
                  <c:v>48.8</c:v>
                </c:pt>
                <c:pt idx="134">
                  <c:v>48.2</c:v>
                </c:pt>
                <c:pt idx="135">
                  <c:v>48.6</c:v>
                </c:pt>
                <c:pt idx="136">
                  <c:v>57.2</c:v>
                </c:pt>
                <c:pt idx="137">
                  <c:v>39.6</c:v>
                </c:pt>
                <c:pt idx="138">
                  <c:v>220.4</c:v>
                </c:pt>
                <c:pt idx="139">
                  <c:v>86.2</c:v>
                </c:pt>
                <c:pt idx="140">
                  <c:v>45.9</c:v>
                </c:pt>
                <c:pt idx="141">
                  <c:v>40.1</c:v>
                </c:pt>
                <c:pt idx="142">
                  <c:v>124.9</c:v>
                </c:pt>
                <c:pt idx="143">
                  <c:v>82.7</c:v>
                </c:pt>
                <c:pt idx="144">
                  <c:v>76.099999999999994</c:v>
                </c:pt>
                <c:pt idx="145">
                  <c:v>84.2</c:v>
                </c:pt>
                <c:pt idx="146">
                  <c:v>49.8</c:v>
                </c:pt>
                <c:pt idx="147">
                  <c:v>48.9</c:v>
                </c:pt>
                <c:pt idx="148">
                  <c:v>63.7</c:v>
                </c:pt>
                <c:pt idx="149">
                  <c:v>38.799999999999997</c:v>
                </c:pt>
                <c:pt idx="150">
                  <c:v>198.7</c:v>
                </c:pt>
                <c:pt idx="151">
                  <c:v>39.6</c:v>
                </c:pt>
                <c:pt idx="152">
                  <c:v>49.6</c:v>
                </c:pt>
                <c:pt idx="153">
                  <c:v>45.3</c:v>
                </c:pt>
                <c:pt idx="154">
                  <c:v>38.4</c:v>
                </c:pt>
                <c:pt idx="155">
                  <c:v>54.5</c:v>
                </c:pt>
                <c:pt idx="156">
                  <c:v>18.7</c:v>
                </c:pt>
                <c:pt idx="157">
                  <c:v>19.7</c:v>
                </c:pt>
                <c:pt idx="158">
                  <c:v>63.4</c:v>
                </c:pt>
                <c:pt idx="159">
                  <c:v>19.899999999999999</c:v>
                </c:pt>
                <c:pt idx="160">
                  <c:v>20.3</c:v>
                </c:pt>
                <c:pt idx="161">
                  <c:v>19.899999999999999</c:v>
                </c:pt>
                <c:pt idx="162">
                  <c:v>70.099999999999994</c:v>
                </c:pt>
                <c:pt idx="163">
                  <c:v>23.7</c:v>
                </c:pt>
                <c:pt idx="164">
                  <c:v>21.4</c:v>
                </c:pt>
                <c:pt idx="165">
                  <c:v>46</c:v>
                </c:pt>
                <c:pt idx="166">
                  <c:v>44.7</c:v>
                </c:pt>
                <c:pt idx="167">
                  <c:v>36</c:v>
                </c:pt>
                <c:pt idx="168">
                  <c:v>50.5</c:v>
                </c:pt>
                <c:pt idx="169">
                  <c:v>57.6</c:v>
                </c:pt>
                <c:pt idx="170">
                  <c:v>55.9</c:v>
                </c:pt>
                <c:pt idx="171">
                  <c:v>40.799999999999997</c:v>
                </c:pt>
                <c:pt idx="172">
                  <c:v>88.4</c:v>
                </c:pt>
                <c:pt idx="173">
                  <c:v>180</c:v>
                </c:pt>
                <c:pt idx="174">
                  <c:v>84</c:v>
                </c:pt>
                <c:pt idx="175">
                  <c:v>48.7</c:v>
                </c:pt>
                <c:pt idx="176">
                  <c:v>45.2</c:v>
                </c:pt>
                <c:pt idx="177">
                  <c:v>105.6</c:v>
                </c:pt>
                <c:pt idx="178">
                  <c:v>67.099999999999994</c:v>
                </c:pt>
                <c:pt idx="179">
                  <c:v>52.7</c:v>
                </c:pt>
                <c:pt idx="180">
                  <c:v>53.3</c:v>
                </c:pt>
                <c:pt idx="181">
                  <c:v>48.6</c:v>
                </c:pt>
                <c:pt idx="182">
                  <c:v>42.8</c:v>
                </c:pt>
                <c:pt idx="183">
                  <c:v>47.9</c:v>
                </c:pt>
                <c:pt idx="184">
                  <c:v>339.7</c:v>
                </c:pt>
                <c:pt idx="185">
                  <c:v>125.5</c:v>
                </c:pt>
                <c:pt idx="186">
                  <c:v>174.7</c:v>
                </c:pt>
                <c:pt idx="187">
                  <c:v>49.5</c:v>
                </c:pt>
                <c:pt idx="188">
                  <c:v>49</c:v>
                </c:pt>
                <c:pt idx="189">
                  <c:v>99.9</c:v>
                </c:pt>
                <c:pt idx="190">
                  <c:v>176.7</c:v>
                </c:pt>
                <c:pt idx="191">
                  <c:v>48.2</c:v>
                </c:pt>
                <c:pt idx="192">
                  <c:v>49</c:v>
                </c:pt>
                <c:pt idx="193">
                  <c:v>49.3</c:v>
                </c:pt>
                <c:pt idx="194">
                  <c:v>47.6</c:v>
                </c:pt>
                <c:pt idx="195">
                  <c:v>48</c:v>
                </c:pt>
                <c:pt idx="196">
                  <c:v>50.9</c:v>
                </c:pt>
                <c:pt idx="197">
                  <c:v>57.4</c:v>
                </c:pt>
                <c:pt idx="198">
                  <c:v>38.4</c:v>
                </c:pt>
                <c:pt idx="199">
                  <c:v>39.1</c:v>
                </c:pt>
                <c:pt idx="200">
                  <c:v>49</c:v>
                </c:pt>
                <c:pt idx="201">
                  <c:v>38.299999999999997</c:v>
                </c:pt>
                <c:pt idx="202">
                  <c:v>48.4</c:v>
                </c:pt>
                <c:pt idx="203">
                  <c:v>49</c:v>
                </c:pt>
                <c:pt idx="204">
                  <c:v>49.1</c:v>
                </c:pt>
                <c:pt idx="205">
                  <c:v>48.4</c:v>
                </c:pt>
                <c:pt idx="206">
                  <c:v>39.9</c:v>
                </c:pt>
                <c:pt idx="207">
                  <c:v>45.9</c:v>
                </c:pt>
                <c:pt idx="208">
                  <c:v>49</c:v>
                </c:pt>
                <c:pt idx="209">
                  <c:v>48.3</c:v>
                </c:pt>
                <c:pt idx="210">
                  <c:v>157.4</c:v>
                </c:pt>
                <c:pt idx="211">
                  <c:v>48.3</c:v>
                </c:pt>
                <c:pt idx="212">
                  <c:v>49.7</c:v>
                </c:pt>
                <c:pt idx="213">
                  <c:v>54.4</c:v>
                </c:pt>
                <c:pt idx="214">
                  <c:v>46</c:v>
                </c:pt>
                <c:pt idx="215">
                  <c:v>40</c:v>
                </c:pt>
                <c:pt idx="216">
                  <c:v>44.7</c:v>
                </c:pt>
                <c:pt idx="217">
                  <c:v>45.4</c:v>
                </c:pt>
                <c:pt idx="218">
                  <c:v>48.2</c:v>
                </c:pt>
                <c:pt idx="219">
                  <c:v>46.3</c:v>
                </c:pt>
                <c:pt idx="220">
                  <c:v>48.6</c:v>
                </c:pt>
                <c:pt idx="221">
                  <c:v>50</c:v>
                </c:pt>
                <c:pt idx="222">
                  <c:v>83.3</c:v>
                </c:pt>
                <c:pt idx="223">
                  <c:v>49.6</c:v>
                </c:pt>
                <c:pt idx="224">
                  <c:v>128.19999999999999</c:v>
                </c:pt>
                <c:pt idx="225">
                  <c:v>73.8</c:v>
                </c:pt>
                <c:pt idx="226">
                  <c:v>50</c:v>
                </c:pt>
                <c:pt idx="227">
                  <c:v>48</c:v>
                </c:pt>
                <c:pt idx="228">
                  <c:v>56.6</c:v>
                </c:pt>
                <c:pt idx="229">
                  <c:v>53.2</c:v>
                </c:pt>
                <c:pt idx="230">
                  <c:v>47.8</c:v>
                </c:pt>
                <c:pt idx="231">
                  <c:v>69.3</c:v>
                </c:pt>
                <c:pt idx="232">
                  <c:v>50</c:v>
                </c:pt>
                <c:pt idx="233">
                  <c:v>331.5</c:v>
                </c:pt>
                <c:pt idx="234">
                  <c:v>49.2</c:v>
                </c:pt>
                <c:pt idx="235">
                  <c:v>55.8</c:v>
                </c:pt>
                <c:pt idx="236">
                  <c:v>82.3</c:v>
                </c:pt>
                <c:pt idx="237">
                  <c:v>48.4</c:v>
                </c:pt>
                <c:pt idx="238">
                  <c:v>237.4</c:v>
                </c:pt>
                <c:pt idx="239">
                  <c:v>49.2</c:v>
                </c:pt>
                <c:pt idx="240">
                  <c:v>135.1</c:v>
                </c:pt>
                <c:pt idx="241">
                  <c:v>39.299999999999997</c:v>
                </c:pt>
                <c:pt idx="242">
                  <c:v>45.2</c:v>
                </c:pt>
                <c:pt idx="243">
                  <c:v>163.69999999999999</c:v>
                </c:pt>
                <c:pt idx="244">
                  <c:v>49.4</c:v>
                </c:pt>
                <c:pt idx="245">
                  <c:v>86.2</c:v>
                </c:pt>
                <c:pt idx="246">
                  <c:v>42.6</c:v>
                </c:pt>
                <c:pt idx="247">
                  <c:v>49</c:v>
                </c:pt>
                <c:pt idx="248">
                  <c:v>50.4</c:v>
                </c:pt>
                <c:pt idx="249">
                  <c:v>50</c:v>
                </c:pt>
                <c:pt idx="250">
                  <c:v>49.5</c:v>
                </c:pt>
                <c:pt idx="251">
                  <c:v>115.3</c:v>
                </c:pt>
                <c:pt idx="252">
                  <c:v>44.6</c:v>
                </c:pt>
                <c:pt idx="253">
                  <c:v>137.30000000000001</c:v>
                </c:pt>
                <c:pt idx="254">
                  <c:v>61.1</c:v>
                </c:pt>
                <c:pt idx="255">
                  <c:v>47.4</c:v>
                </c:pt>
                <c:pt idx="256">
                  <c:v>54.8</c:v>
                </c:pt>
                <c:pt idx="257">
                  <c:v>62</c:v>
                </c:pt>
                <c:pt idx="258">
                  <c:v>47.4</c:v>
                </c:pt>
                <c:pt idx="259">
                  <c:v>48.1</c:v>
                </c:pt>
                <c:pt idx="260">
                  <c:v>48.2</c:v>
                </c:pt>
                <c:pt idx="261">
                  <c:v>52.1</c:v>
                </c:pt>
                <c:pt idx="262">
                  <c:v>71.8</c:v>
                </c:pt>
                <c:pt idx="263">
                  <c:v>141.4</c:v>
                </c:pt>
                <c:pt idx="264">
                  <c:v>45.2</c:v>
                </c:pt>
                <c:pt idx="265">
                  <c:v>48.9</c:v>
                </c:pt>
                <c:pt idx="266">
                  <c:v>78.900000000000006</c:v>
                </c:pt>
                <c:pt idx="267">
                  <c:v>139.9</c:v>
                </c:pt>
                <c:pt idx="268">
                  <c:v>75.400000000000006</c:v>
                </c:pt>
                <c:pt idx="269">
                  <c:v>49.8</c:v>
                </c:pt>
                <c:pt idx="270">
                  <c:v>62.8</c:v>
                </c:pt>
                <c:pt idx="271">
                  <c:v>162</c:v>
                </c:pt>
                <c:pt idx="272">
                  <c:v>39.6</c:v>
                </c:pt>
                <c:pt idx="273">
                  <c:v>45.5</c:v>
                </c:pt>
                <c:pt idx="274">
                  <c:v>125.8</c:v>
                </c:pt>
                <c:pt idx="275">
                  <c:v>71.2</c:v>
                </c:pt>
                <c:pt idx="276">
                  <c:v>47.1</c:v>
                </c:pt>
                <c:pt idx="277">
                  <c:v>54.3</c:v>
                </c:pt>
                <c:pt idx="278">
                  <c:v>92</c:v>
                </c:pt>
                <c:pt idx="279">
                  <c:v>39</c:v>
                </c:pt>
                <c:pt idx="280">
                  <c:v>50.8</c:v>
                </c:pt>
                <c:pt idx="281">
                  <c:v>49.6</c:v>
                </c:pt>
                <c:pt idx="282">
                  <c:v>108.1</c:v>
                </c:pt>
                <c:pt idx="283">
                  <c:v>39.4</c:v>
                </c:pt>
                <c:pt idx="284">
                  <c:v>48</c:v>
                </c:pt>
                <c:pt idx="285">
                  <c:v>128.80000000000001</c:v>
                </c:pt>
                <c:pt idx="286">
                  <c:v>49.4</c:v>
                </c:pt>
                <c:pt idx="287">
                  <c:v>45.3</c:v>
                </c:pt>
                <c:pt idx="288">
                  <c:v>46.8</c:v>
                </c:pt>
                <c:pt idx="289">
                  <c:v>98.9</c:v>
                </c:pt>
                <c:pt idx="290">
                  <c:v>90.9</c:v>
                </c:pt>
                <c:pt idx="291">
                  <c:v>48.1</c:v>
                </c:pt>
                <c:pt idx="292">
                  <c:v>60</c:v>
                </c:pt>
                <c:pt idx="293">
                  <c:v>52.7</c:v>
                </c:pt>
                <c:pt idx="294">
                  <c:v>47.5</c:v>
                </c:pt>
                <c:pt idx="295">
                  <c:v>127</c:v>
                </c:pt>
                <c:pt idx="296">
                  <c:v>58.1</c:v>
                </c:pt>
                <c:pt idx="297">
                  <c:v>89.2</c:v>
                </c:pt>
                <c:pt idx="298">
                  <c:v>40</c:v>
                </c:pt>
                <c:pt idx="299">
                  <c:v>47.8</c:v>
                </c:pt>
                <c:pt idx="300">
                  <c:v>39.1</c:v>
                </c:pt>
                <c:pt idx="301">
                  <c:v>61</c:v>
                </c:pt>
                <c:pt idx="302">
                  <c:v>38.9</c:v>
                </c:pt>
                <c:pt idx="303">
                  <c:v>66.8</c:v>
                </c:pt>
                <c:pt idx="304">
                  <c:v>39.700000000000003</c:v>
                </c:pt>
                <c:pt idx="305">
                  <c:v>45</c:v>
                </c:pt>
                <c:pt idx="306">
                  <c:v>159.69999999999999</c:v>
                </c:pt>
                <c:pt idx="307">
                  <c:v>50.2</c:v>
                </c:pt>
                <c:pt idx="308">
                  <c:v>58.7</c:v>
                </c:pt>
                <c:pt idx="309">
                  <c:v>174</c:v>
                </c:pt>
                <c:pt idx="310">
                  <c:v>176</c:v>
                </c:pt>
                <c:pt idx="311">
                  <c:v>78.8</c:v>
                </c:pt>
                <c:pt idx="312">
                  <c:v>43.9</c:v>
                </c:pt>
                <c:pt idx="313">
                  <c:v>48.6</c:v>
                </c:pt>
                <c:pt idx="314">
                  <c:v>46.8</c:v>
                </c:pt>
                <c:pt idx="315">
                  <c:v>50</c:v>
                </c:pt>
                <c:pt idx="316">
                  <c:v>18.7</c:v>
                </c:pt>
                <c:pt idx="317">
                  <c:v>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EE-41F4-94F9-CD41C8D4C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537680"/>
        <c:axId val="158536720"/>
      </c:lineChart>
      <c:lineChart>
        <c:grouping val="stacked"/>
        <c:varyColors val="0"/>
        <c:ser>
          <c:idx val="1"/>
          <c:order val="1"/>
          <c:tx>
            <c:strRef>
              <c:f>results_alexnet_pruned45_cat!$T$1</c:f>
              <c:strCache>
                <c:ptCount val="1"/>
                <c:pt idx="0">
                  <c:v>npu_us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results_alexnet_pruned45_cat!$T$2:$T$319</c:f>
              <c:numCache>
                <c:formatCode>General</c:formatCode>
                <c:ptCount val="318"/>
                <c:pt idx="0">
                  <c:v>0.95714285700000001</c:v>
                </c:pt>
                <c:pt idx="1">
                  <c:v>0.928571429</c:v>
                </c:pt>
                <c:pt idx="2">
                  <c:v>0.85714285700000004</c:v>
                </c:pt>
                <c:pt idx="3">
                  <c:v>0.928571429</c:v>
                </c:pt>
                <c:pt idx="4">
                  <c:v>0.985714286</c:v>
                </c:pt>
                <c:pt idx="5">
                  <c:v>0.97142857100000002</c:v>
                </c:pt>
                <c:pt idx="6">
                  <c:v>0.985714286</c:v>
                </c:pt>
                <c:pt idx="7">
                  <c:v>0.88571428600000002</c:v>
                </c:pt>
                <c:pt idx="8">
                  <c:v>0.95714285700000001</c:v>
                </c:pt>
                <c:pt idx="9">
                  <c:v>0.928571429</c:v>
                </c:pt>
                <c:pt idx="10">
                  <c:v>0.85714285700000004</c:v>
                </c:pt>
                <c:pt idx="11">
                  <c:v>0.928571429</c:v>
                </c:pt>
                <c:pt idx="12">
                  <c:v>0.985714286</c:v>
                </c:pt>
                <c:pt idx="13">
                  <c:v>0.97142857100000002</c:v>
                </c:pt>
                <c:pt idx="14">
                  <c:v>0.985714286</c:v>
                </c:pt>
                <c:pt idx="15">
                  <c:v>0.88571428600000002</c:v>
                </c:pt>
                <c:pt idx="16">
                  <c:v>0.95714285700000001</c:v>
                </c:pt>
                <c:pt idx="17">
                  <c:v>0.928571429</c:v>
                </c:pt>
                <c:pt idx="18">
                  <c:v>0.85714285700000004</c:v>
                </c:pt>
                <c:pt idx="19">
                  <c:v>0.928571429</c:v>
                </c:pt>
                <c:pt idx="20">
                  <c:v>0.985714286</c:v>
                </c:pt>
                <c:pt idx="21">
                  <c:v>0.97142857100000002</c:v>
                </c:pt>
                <c:pt idx="22">
                  <c:v>0.985714286</c:v>
                </c:pt>
                <c:pt idx="23">
                  <c:v>0.88571428600000002</c:v>
                </c:pt>
                <c:pt idx="24">
                  <c:v>0.94285714300000001</c:v>
                </c:pt>
                <c:pt idx="25">
                  <c:v>0.91428571400000003</c:v>
                </c:pt>
                <c:pt idx="26">
                  <c:v>0.84285714300000003</c:v>
                </c:pt>
                <c:pt idx="27">
                  <c:v>0.91428571400000003</c:v>
                </c:pt>
                <c:pt idx="28">
                  <c:v>0.97142857100000002</c:v>
                </c:pt>
                <c:pt idx="29">
                  <c:v>0.95714285700000001</c:v>
                </c:pt>
                <c:pt idx="30">
                  <c:v>0.97142857100000002</c:v>
                </c:pt>
                <c:pt idx="31">
                  <c:v>0.87142857100000004</c:v>
                </c:pt>
                <c:pt idx="32">
                  <c:v>0.95714285700000001</c:v>
                </c:pt>
                <c:pt idx="33">
                  <c:v>0.928571429</c:v>
                </c:pt>
                <c:pt idx="34">
                  <c:v>0.85714285700000004</c:v>
                </c:pt>
                <c:pt idx="35">
                  <c:v>0.928571429</c:v>
                </c:pt>
                <c:pt idx="36">
                  <c:v>0.985714286</c:v>
                </c:pt>
                <c:pt idx="37">
                  <c:v>0.97142857100000002</c:v>
                </c:pt>
                <c:pt idx="38">
                  <c:v>0.985714286</c:v>
                </c:pt>
                <c:pt idx="39">
                  <c:v>0.88571428600000002</c:v>
                </c:pt>
                <c:pt idx="40">
                  <c:v>0.54285714299999999</c:v>
                </c:pt>
                <c:pt idx="41">
                  <c:v>0.514285714</c:v>
                </c:pt>
                <c:pt idx="42">
                  <c:v>0.44285714300000001</c:v>
                </c:pt>
                <c:pt idx="43">
                  <c:v>0.514285714</c:v>
                </c:pt>
                <c:pt idx="44">
                  <c:v>0.571428571</c:v>
                </c:pt>
                <c:pt idx="45">
                  <c:v>0.55714285699999999</c:v>
                </c:pt>
                <c:pt idx="46">
                  <c:v>0.571428571</c:v>
                </c:pt>
                <c:pt idx="47">
                  <c:v>0.47142857100000002</c:v>
                </c:pt>
                <c:pt idx="48">
                  <c:v>1</c:v>
                </c:pt>
                <c:pt idx="49">
                  <c:v>0.94285714300000001</c:v>
                </c:pt>
                <c:pt idx="50">
                  <c:v>0.91428571400000003</c:v>
                </c:pt>
                <c:pt idx="51">
                  <c:v>0.85714285700000004</c:v>
                </c:pt>
                <c:pt idx="52">
                  <c:v>0.97142857100000002</c:v>
                </c:pt>
                <c:pt idx="53">
                  <c:v>0.91428571400000003</c:v>
                </c:pt>
                <c:pt idx="54">
                  <c:v>0.928571429</c:v>
                </c:pt>
                <c:pt idx="55">
                  <c:v>0.85714285700000004</c:v>
                </c:pt>
                <c:pt idx="56">
                  <c:v>0.9</c:v>
                </c:pt>
                <c:pt idx="57">
                  <c:v>0.84285714300000003</c:v>
                </c:pt>
                <c:pt idx="58">
                  <c:v>0.81428571400000005</c:v>
                </c:pt>
                <c:pt idx="59">
                  <c:v>0.75714285699999995</c:v>
                </c:pt>
                <c:pt idx="60">
                  <c:v>0.87142857100000004</c:v>
                </c:pt>
                <c:pt idx="61">
                  <c:v>0.81428571400000005</c:v>
                </c:pt>
                <c:pt idx="62">
                  <c:v>0.82857142900000003</c:v>
                </c:pt>
                <c:pt idx="63">
                  <c:v>0.75714285699999995</c:v>
                </c:pt>
                <c:pt idx="64">
                  <c:v>0.9</c:v>
                </c:pt>
                <c:pt idx="65">
                  <c:v>0.84285714300000003</c:v>
                </c:pt>
                <c:pt idx="66">
                  <c:v>0.81428571400000005</c:v>
                </c:pt>
                <c:pt idx="67">
                  <c:v>0.75714285699999995</c:v>
                </c:pt>
                <c:pt idx="68">
                  <c:v>0.87142857100000004</c:v>
                </c:pt>
                <c:pt idx="69">
                  <c:v>0.81428571400000005</c:v>
                </c:pt>
                <c:pt idx="70">
                  <c:v>0.82857142900000003</c:v>
                </c:pt>
                <c:pt idx="71">
                  <c:v>0.75714285699999995</c:v>
                </c:pt>
                <c:pt idx="72">
                  <c:v>0.97142857100000002</c:v>
                </c:pt>
                <c:pt idx="73">
                  <c:v>0.91428571400000003</c:v>
                </c:pt>
                <c:pt idx="74">
                  <c:v>0.88571428600000002</c:v>
                </c:pt>
                <c:pt idx="75">
                  <c:v>0.82857142900000003</c:v>
                </c:pt>
                <c:pt idx="76">
                  <c:v>0.94285714300000001</c:v>
                </c:pt>
                <c:pt idx="77">
                  <c:v>0.88571428600000002</c:v>
                </c:pt>
                <c:pt idx="78">
                  <c:v>0.9</c:v>
                </c:pt>
                <c:pt idx="79">
                  <c:v>0.82857142900000003</c:v>
                </c:pt>
                <c:pt idx="80">
                  <c:v>1.0142857139999999</c:v>
                </c:pt>
                <c:pt idx="81">
                  <c:v>0.95714285700000001</c:v>
                </c:pt>
                <c:pt idx="82">
                  <c:v>0.928571429</c:v>
                </c:pt>
                <c:pt idx="83">
                  <c:v>0.87142857100000004</c:v>
                </c:pt>
                <c:pt idx="84">
                  <c:v>0.985714286</c:v>
                </c:pt>
                <c:pt idx="85">
                  <c:v>0.928571429</c:v>
                </c:pt>
                <c:pt idx="86">
                  <c:v>0.94285714300000001</c:v>
                </c:pt>
                <c:pt idx="87">
                  <c:v>0.87142857100000004</c:v>
                </c:pt>
                <c:pt idx="88">
                  <c:v>0.55714285699999999</c:v>
                </c:pt>
                <c:pt idx="89">
                  <c:v>0.5</c:v>
                </c:pt>
                <c:pt idx="90">
                  <c:v>0.47142857100000002</c:v>
                </c:pt>
                <c:pt idx="91">
                  <c:v>0.41428571400000003</c:v>
                </c:pt>
                <c:pt idx="92">
                  <c:v>0.52857142899999998</c:v>
                </c:pt>
                <c:pt idx="93">
                  <c:v>0.47142857100000002</c:v>
                </c:pt>
                <c:pt idx="94">
                  <c:v>0.485714286</c:v>
                </c:pt>
                <c:pt idx="95">
                  <c:v>0.41428571400000003</c:v>
                </c:pt>
                <c:pt idx="96">
                  <c:v>0.62857142899999996</c:v>
                </c:pt>
                <c:pt idx="97">
                  <c:v>0.64285714299999996</c:v>
                </c:pt>
                <c:pt idx="98">
                  <c:v>0.64285714299999996</c:v>
                </c:pt>
                <c:pt idx="99">
                  <c:v>0.61428571399999998</c:v>
                </c:pt>
                <c:pt idx="100">
                  <c:v>0.65714285699999997</c:v>
                </c:pt>
                <c:pt idx="101">
                  <c:v>0.65714285699999997</c:v>
                </c:pt>
                <c:pt idx="102">
                  <c:v>0.68571428599999995</c:v>
                </c:pt>
                <c:pt idx="103">
                  <c:v>0.7</c:v>
                </c:pt>
                <c:pt idx="104">
                  <c:v>0.64285714299999996</c:v>
                </c:pt>
                <c:pt idx="105">
                  <c:v>0.67142857099999997</c:v>
                </c:pt>
                <c:pt idx="106">
                  <c:v>0.68571428599999995</c:v>
                </c:pt>
                <c:pt idx="107">
                  <c:v>0.58571428599999997</c:v>
                </c:pt>
                <c:pt idx="108">
                  <c:v>0.72857142900000005</c:v>
                </c:pt>
                <c:pt idx="109">
                  <c:v>0.74285714300000005</c:v>
                </c:pt>
                <c:pt idx="110">
                  <c:v>0.74285714300000005</c:v>
                </c:pt>
                <c:pt idx="111">
                  <c:v>0.71428571399999996</c:v>
                </c:pt>
                <c:pt idx="112">
                  <c:v>0.75714285699999995</c:v>
                </c:pt>
                <c:pt idx="113">
                  <c:v>0.75714285699999995</c:v>
                </c:pt>
                <c:pt idx="114">
                  <c:v>0.78571428600000004</c:v>
                </c:pt>
                <c:pt idx="115">
                  <c:v>0.8</c:v>
                </c:pt>
                <c:pt idx="116">
                  <c:v>0.74285714300000005</c:v>
                </c:pt>
                <c:pt idx="117">
                  <c:v>0.77142857099999995</c:v>
                </c:pt>
                <c:pt idx="118">
                  <c:v>0.78571428600000004</c:v>
                </c:pt>
                <c:pt idx="119">
                  <c:v>0.68571428599999995</c:v>
                </c:pt>
                <c:pt idx="120">
                  <c:v>0.58571428599999997</c:v>
                </c:pt>
                <c:pt idx="121">
                  <c:v>0.6</c:v>
                </c:pt>
                <c:pt idx="122">
                  <c:v>0.6</c:v>
                </c:pt>
                <c:pt idx="123">
                  <c:v>0.571428571</c:v>
                </c:pt>
                <c:pt idx="124">
                  <c:v>0.61428571399999998</c:v>
                </c:pt>
                <c:pt idx="125">
                  <c:v>0.61428571399999998</c:v>
                </c:pt>
                <c:pt idx="126">
                  <c:v>0.64285714299999996</c:v>
                </c:pt>
                <c:pt idx="127">
                  <c:v>0.65714285699999997</c:v>
                </c:pt>
                <c:pt idx="128">
                  <c:v>0.6</c:v>
                </c:pt>
                <c:pt idx="129">
                  <c:v>0.62857142899999996</c:v>
                </c:pt>
                <c:pt idx="130">
                  <c:v>0.64285714299999996</c:v>
                </c:pt>
                <c:pt idx="131">
                  <c:v>0.54285714299999999</c:v>
                </c:pt>
                <c:pt idx="132">
                  <c:v>0.428571429</c:v>
                </c:pt>
                <c:pt idx="133">
                  <c:v>0.44285714300000001</c:v>
                </c:pt>
                <c:pt idx="134">
                  <c:v>0.44285714300000001</c:v>
                </c:pt>
                <c:pt idx="135">
                  <c:v>0.41428571400000003</c:v>
                </c:pt>
                <c:pt idx="136">
                  <c:v>0.45714285700000001</c:v>
                </c:pt>
                <c:pt idx="137">
                  <c:v>0.45714285700000001</c:v>
                </c:pt>
                <c:pt idx="138">
                  <c:v>0.485714286</c:v>
                </c:pt>
                <c:pt idx="139">
                  <c:v>0.5</c:v>
                </c:pt>
                <c:pt idx="140">
                  <c:v>0.44285714300000001</c:v>
                </c:pt>
                <c:pt idx="141">
                  <c:v>0.47142857100000002</c:v>
                </c:pt>
                <c:pt idx="142">
                  <c:v>0.485714286</c:v>
                </c:pt>
                <c:pt idx="143">
                  <c:v>0.38571428600000002</c:v>
                </c:pt>
                <c:pt idx="144">
                  <c:v>0.64285714299999996</c:v>
                </c:pt>
                <c:pt idx="145">
                  <c:v>0.65714285699999997</c:v>
                </c:pt>
                <c:pt idx="146">
                  <c:v>0.65714285699999997</c:v>
                </c:pt>
                <c:pt idx="147">
                  <c:v>0.62857142899999996</c:v>
                </c:pt>
                <c:pt idx="148">
                  <c:v>0.67142857099999997</c:v>
                </c:pt>
                <c:pt idx="149">
                  <c:v>0.67142857099999997</c:v>
                </c:pt>
                <c:pt idx="150">
                  <c:v>0.7</c:v>
                </c:pt>
                <c:pt idx="151">
                  <c:v>0.71428571399999996</c:v>
                </c:pt>
                <c:pt idx="152">
                  <c:v>0.65714285699999997</c:v>
                </c:pt>
                <c:pt idx="153">
                  <c:v>0.68571428599999995</c:v>
                </c:pt>
                <c:pt idx="154">
                  <c:v>0.7</c:v>
                </c:pt>
                <c:pt idx="155">
                  <c:v>0.6</c:v>
                </c:pt>
                <c:pt idx="156">
                  <c:v>0.37142857099999999</c:v>
                </c:pt>
                <c:pt idx="157">
                  <c:v>0.38571428600000002</c:v>
                </c:pt>
                <c:pt idx="158">
                  <c:v>0.38571428600000002</c:v>
                </c:pt>
                <c:pt idx="159">
                  <c:v>0.35714285699999998</c:v>
                </c:pt>
                <c:pt idx="160">
                  <c:v>0.4</c:v>
                </c:pt>
                <c:pt idx="161">
                  <c:v>0.4</c:v>
                </c:pt>
                <c:pt idx="162">
                  <c:v>0.428571429</c:v>
                </c:pt>
                <c:pt idx="163">
                  <c:v>0.44285714300000001</c:v>
                </c:pt>
                <c:pt idx="164">
                  <c:v>0.38571428600000002</c:v>
                </c:pt>
                <c:pt idx="165">
                  <c:v>0.41428571400000003</c:v>
                </c:pt>
                <c:pt idx="166">
                  <c:v>0.428571429</c:v>
                </c:pt>
                <c:pt idx="167">
                  <c:v>0.32857142900000003</c:v>
                </c:pt>
                <c:pt idx="168">
                  <c:v>0.82857142900000003</c:v>
                </c:pt>
                <c:pt idx="169">
                  <c:v>0.82857142900000003</c:v>
                </c:pt>
                <c:pt idx="170">
                  <c:v>0.88571428600000002</c:v>
                </c:pt>
                <c:pt idx="171">
                  <c:v>0.75714285699999995</c:v>
                </c:pt>
                <c:pt idx="172">
                  <c:v>0.82857142900000003</c:v>
                </c:pt>
                <c:pt idx="173">
                  <c:v>0.81428571400000005</c:v>
                </c:pt>
                <c:pt idx="174">
                  <c:v>0.985714286</c:v>
                </c:pt>
                <c:pt idx="175">
                  <c:v>0.985714286</c:v>
                </c:pt>
                <c:pt idx="176">
                  <c:v>1.042857143</c:v>
                </c:pt>
                <c:pt idx="177">
                  <c:v>0.91428571400000003</c:v>
                </c:pt>
                <c:pt idx="178">
                  <c:v>0.985714286</c:v>
                </c:pt>
                <c:pt idx="179">
                  <c:v>0.97142857100000002</c:v>
                </c:pt>
                <c:pt idx="180">
                  <c:v>0.95714285700000001</c:v>
                </c:pt>
                <c:pt idx="181">
                  <c:v>0.95714285700000001</c:v>
                </c:pt>
                <c:pt idx="182">
                  <c:v>1.0142857139999999</c:v>
                </c:pt>
                <c:pt idx="183">
                  <c:v>0.88571428600000002</c:v>
                </c:pt>
                <c:pt idx="184">
                  <c:v>0.95714285700000001</c:v>
                </c:pt>
                <c:pt idx="185">
                  <c:v>0.94285714300000001</c:v>
                </c:pt>
                <c:pt idx="186">
                  <c:v>0.85714285700000004</c:v>
                </c:pt>
                <c:pt idx="187">
                  <c:v>0.85714285700000004</c:v>
                </c:pt>
                <c:pt idx="188">
                  <c:v>0.91428571400000003</c:v>
                </c:pt>
                <c:pt idx="189">
                  <c:v>0.78571428600000004</c:v>
                </c:pt>
                <c:pt idx="190">
                  <c:v>0.85714285700000004</c:v>
                </c:pt>
                <c:pt idx="191">
                  <c:v>0.84285714300000003</c:v>
                </c:pt>
                <c:pt idx="192">
                  <c:v>0.84285714300000003</c:v>
                </c:pt>
                <c:pt idx="193">
                  <c:v>0.84285714300000003</c:v>
                </c:pt>
                <c:pt idx="194">
                  <c:v>0.9</c:v>
                </c:pt>
                <c:pt idx="195">
                  <c:v>0.77142857099999995</c:v>
                </c:pt>
                <c:pt idx="196">
                  <c:v>0.84285714300000003</c:v>
                </c:pt>
                <c:pt idx="197">
                  <c:v>0.82857142900000003</c:v>
                </c:pt>
                <c:pt idx="198">
                  <c:v>0.94285714300000001</c:v>
                </c:pt>
                <c:pt idx="199">
                  <c:v>0.94285714300000001</c:v>
                </c:pt>
                <c:pt idx="200">
                  <c:v>1</c:v>
                </c:pt>
                <c:pt idx="201">
                  <c:v>0.87142857100000004</c:v>
                </c:pt>
                <c:pt idx="202">
                  <c:v>0.94285714300000001</c:v>
                </c:pt>
                <c:pt idx="203">
                  <c:v>0.928571429</c:v>
                </c:pt>
                <c:pt idx="204">
                  <c:v>1</c:v>
                </c:pt>
                <c:pt idx="205">
                  <c:v>1</c:v>
                </c:pt>
                <c:pt idx="206">
                  <c:v>1.0571428570000001</c:v>
                </c:pt>
                <c:pt idx="207">
                  <c:v>0.928571429</c:v>
                </c:pt>
                <c:pt idx="208">
                  <c:v>1</c:v>
                </c:pt>
                <c:pt idx="209">
                  <c:v>0.985714286</c:v>
                </c:pt>
                <c:pt idx="210">
                  <c:v>1.085714286</c:v>
                </c:pt>
                <c:pt idx="211">
                  <c:v>1.085714286</c:v>
                </c:pt>
                <c:pt idx="212">
                  <c:v>1.1428571430000001</c:v>
                </c:pt>
                <c:pt idx="213">
                  <c:v>1.0142857139999999</c:v>
                </c:pt>
                <c:pt idx="214">
                  <c:v>1.085714286</c:v>
                </c:pt>
                <c:pt idx="215">
                  <c:v>1.071428571</c:v>
                </c:pt>
                <c:pt idx="216">
                  <c:v>1.1428571430000001</c:v>
                </c:pt>
                <c:pt idx="217">
                  <c:v>1.1428571430000001</c:v>
                </c:pt>
                <c:pt idx="218">
                  <c:v>1.2</c:v>
                </c:pt>
                <c:pt idx="219">
                  <c:v>1.071428571</c:v>
                </c:pt>
                <c:pt idx="220">
                  <c:v>1.1428571430000001</c:v>
                </c:pt>
                <c:pt idx="221">
                  <c:v>1.128571429</c:v>
                </c:pt>
                <c:pt idx="222">
                  <c:v>1.0142857139999999</c:v>
                </c:pt>
                <c:pt idx="223">
                  <c:v>1.0142857139999999</c:v>
                </c:pt>
                <c:pt idx="224">
                  <c:v>1.071428571</c:v>
                </c:pt>
                <c:pt idx="225">
                  <c:v>0.94285714300000001</c:v>
                </c:pt>
                <c:pt idx="226">
                  <c:v>1.0142857139999999</c:v>
                </c:pt>
                <c:pt idx="227">
                  <c:v>1</c:v>
                </c:pt>
                <c:pt idx="228">
                  <c:v>0.94285714300000001</c:v>
                </c:pt>
                <c:pt idx="229">
                  <c:v>0.94285714300000001</c:v>
                </c:pt>
                <c:pt idx="230">
                  <c:v>1</c:v>
                </c:pt>
                <c:pt idx="231">
                  <c:v>0.87142857100000004</c:v>
                </c:pt>
                <c:pt idx="232">
                  <c:v>0.94285714300000001</c:v>
                </c:pt>
                <c:pt idx="233">
                  <c:v>0.928571429</c:v>
                </c:pt>
                <c:pt idx="234">
                  <c:v>0.84285714300000003</c:v>
                </c:pt>
                <c:pt idx="235">
                  <c:v>0.84285714300000003</c:v>
                </c:pt>
                <c:pt idx="236">
                  <c:v>0.9</c:v>
                </c:pt>
                <c:pt idx="237">
                  <c:v>0.77142857099999995</c:v>
                </c:pt>
                <c:pt idx="238">
                  <c:v>0.84285714300000003</c:v>
                </c:pt>
                <c:pt idx="239">
                  <c:v>0.82857142900000003</c:v>
                </c:pt>
                <c:pt idx="240">
                  <c:v>0.928571429</c:v>
                </c:pt>
                <c:pt idx="241">
                  <c:v>0.928571429</c:v>
                </c:pt>
                <c:pt idx="242">
                  <c:v>0.985714286</c:v>
                </c:pt>
                <c:pt idx="243">
                  <c:v>0.85714285700000004</c:v>
                </c:pt>
                <c:pt idx="244">
                  <c:v>0.928571429</c:v>
                </c:pt>
                <c:pt idx="245">
                  <c:v>0.91428571400000003</c:v>
                </c:pt>
                <c:pt idx="246">
                  <c:v>0.928571429</c:v>
                </c:pt>
                <c:pt idx="247">
                  <c:v>0.928571429</c:v>
                </c:pt>
                <c:pt idx="248">
                  <c:v>0.985714286</c:v>
                </c:pt>
                <c:pt idx="249">
                  <c:v>0.85714285700000004</c:v>
                </c:pt>
                <c:pt idx="250">
                  <c:v>0.928571429</c:v>
                </c:pt>
                <c:pt idx="251">
                  <c:v>0.91428571400000003</c:v>
                </c:pt>
                <c:pt idx="252">
                  <c:v>0.985714286</c:v>
                </c:pt>
                <c:pt idx="253">
                  <c:v>0.985714286</c:v>
                </c:pt>
                <c:pt idx="254">
                  <c:v>1.042857143</c:v>
                </c:pt>
                <c:pt idx="255">
                  <c:v>0.91428571400000003</c:v>
                </c:pt>
                <c:pt idx="256">
                  <c:v>0.985714286</c:v>
                </c:pt>
                <c:pt idx="257">
                  <c:v>0.97142857100000002</c:v>
                </c:pt>
                <c:pt idx="258">
                  <c:v>1</c:v>
                </c:pt>
                <c:pt idx="259">
                  <c:v>1</c:v>
                </c:pt>
                <c:pt idx="260">
                  <c:v>1.0571428570000001</c:v>
                </c:pt>
                <c:pt idx="261">
                  <c:v>0.928571429</c:v>
                </c:pt>
                <c:pt idx="262">
                  <c:v>1</c:v>
                </c:pt>
                <c:pt idx="263">
                  <c:v>0.985714286</c:v>
                </c:pt>
                <c:pt idx="264">
                  <c:v>0.9</c:v>
                </c:pt>
                <c:pt idx="265">
                  <c:v>0.9</c:v>
                </c:pt>
                <c:pt idx="266">
                  <c:v>0.95714285700000001</c:v>
                </c:pt>
                <c:pt idx="267">
                  <c:v>0.82857142900000003</c:v>
                </c:pt>
                <c:pt idx="268">
                  <c:v>0.9</c:v>
                </c:pt>
                <c:pt idx="269">
                  <c:v>0.88571428600000002</c:v>
                </c:pt>
                <c:pt idx="270">
                  <c:v>0.87142857100000004</c:v>
                </c:pt>
                <c:pt idx="271">
                  <c:v>0.87142857100000004</c:v>
                </c:pt>
                <c:pt idx="272">
                  <c:v>0.928571429</c:v>
                </c:pt>
                <c:pt idx="273">
                  <c:v>0.8</c:v>
                </c:pt>
                <c:pt idx="274">
                  <c:v>0.87142857100000004</c:v>
                </c:pt>
                <c:pt idx="275">
                  <c:v>0.85714285700000004</c:v>
                </c:pt>
                <c:pt idx="276">
                  <c:v>0.91428571400000003</c:v>
                </c:pt>
                <c:pt idx="277">
                  <c:v>0.91428571400000003</c:v>
                </c:pt>
                <c:pt idx="278">
                  <c:v>0.97142857100000002</c:v>
                </c:pt>
                <c:pt idx="279">
                  <c:v>0.84285714300000003</c:v>
                </c:pt>
                <c:pt idx="280">
                  <c:v>0.91428571400000003</c:v>
                </c:pt>
                <c:pt idx="281">
                  <c:v>0.9</c:v>
                </c:pt>
                <c:pt idx="282">
                  <c:v>0.91428571400000003</c:v>
                </c:pt>
                <c:pt idx="283">
                  <c:v>0.91428571400000003</c:v>
                </c:pt>
                <c:pt idx="284">
                  <c:v>0.97142857100000002</c:v>
                </c:pt>
                <c:pt idx="285">
                  <c:v>0.84285714300000003</c:v>
                </c:pt>
                <c:pt idx="286">
                  <c:v>0.91428571400000003</c:v>
                </c:pt>
                <c:pt idx="287">
                  <c:v>0.9</c:v>
                </c:pt>
                <c:pt idx="288">
                  <c:v>0.97142857100000002</c:v>
                </c:pt>
                <c:pt idx="289">
                  <c:v>0.97142857100000002</c:v>
                </c:pt>
                <c:pt idx="290">
                  <c:v>1.0285714290000001</c:v>
                </c:pt>
                <c:pt idx="291">
                  <c:v>0.9</c:v>
                </c:pt>
                <c:pt idx="292">
                  <c:v>0.97142857100000002</c:v>
                </c:pt>
                <c:pt idx="293">
                  <c:v>0.95714285700000001</c:v>
                </c:pt>
                <c:pt idx="294">
                  <c:v>1.0142857139999999</c:v>
                </c:pt>
                <c:pt idx="295">
                  <c:v>1.0142857139999999</c:v>
                </c:pt>
                <c:pt idx="296">
                  <c:v>1.071428571</c:v>
                </c:pt>
                <c:pt idx="297">
                  <c:v>0.94285714300000001</c:v>
                </c:pt>
                <c:pt idx="298">
                  <c:v>1.0142857139999999</c:v>
                </c:pt>
                <c:pt idx="299">
                  <c:v>1</c:v>
                </c:pt>
                <c:pt idx="300">
                  <c:v>0.85714285700000004</c:v>
                </c:pt>
                <c:pt idx="301">
                  <c:v>0.85714285700000004</c:v>
                </c:pt>
                <c:pt idx="302">
                  <c:v>0.91428571400000003</c:v>
                </c:pt>
                <c:pt idx="303">
                  <c:v>0.78571428600000004</c:v>
                </c:pt>
                <c:pt idx="304">
                  <c:v>0.85714285700000004</c:v>
                </c:pt>
                <c:pt idx="305">
                  <c:v>0.84285714300000003</c:v>
                </c:pt>
                <c:pt idx="306">
                  <c:v>1.157142857</c:v>
                </c:pt>
                <c:pt idx="307">
                  <c:v>1.114285714</c:v>
                </c:pt>
                <c:pt idx="308">
                  <c:v>1.157142857</c:v>
                </c:pt>
                <c:pt idx="309">
                  <c:v>1.114285714</c:v>
                </c:pt>
                <c:pt idx="310">
                  <c:v>1.157142857</c:v>
                </c:pt>
                <c:pt idx="311">
                  <c:v>1.114285714</c:v>
                </c:pt>
                <c:pt idx="312">
                  <c:v>1.157142857</c:v>
                </c:pt>
                <c:pt idx="313">
                  <c:v>1.114285714</c:v>
                </c:pt>
                <c:pt idx="314">
                  <c:v>1.157142857</c:v>
                </c:pt>
                <c:pt idx="315">
                  <c:v>1.114285714</c:v>
                </c:pt>
                <c:pt idx="316">
                  <c:v>0.82857142900000003</c:v>
                </c:pt>
                <c:pt idx="317">
                  <c:v>0.78571428600000004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EE-41F4-94F9-CD41C8D4C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040336"/>
        <c:axId val="1485041296"/>
      </c:lineChart>
      <c:catAx>
        <c:axId val="15853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Layer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6720"/>
        <c:crosses val="autoZero"/>
        <c:auto val="1"/>
        <c:lblAlgn val="ctr"/>
        <c:lblOffset val="100"/>
        <c:noMultiLvlLbl val="0"/>
      </c:catAx>
      <c:valAx>
        <c:axId val="1585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CPU</a:t>
                </a:r>
                <a:r>
                  <a:rPr lang="en-NZ" baseline="0"/>
                  <a:t> Latency (Microseconds)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7680"/>
        <c:crosses val="autoZero"/>
        <c:crossBetween val="between"/>
      </c:valAx>
      <c:valAx>
        <c:axId val="14850412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NPU Latency (Microseconds)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040336"/>
        <c:crosses val="max"/>
        <c:crossBetween val="between"/>
      </c:valAx>
      <c:catAx>
        <c:axId val="1485040336"/>
        <c:scaling>
          <c:orientation val="minMax"/>
        </c:scaling>
        <c:delete val="1"/>
        <c:axPos val="b"/>
        <c:majorTickMark val="out"/>
        <c:minorTickMark val="none"/>
        <c:tickLblPos val="nextTo"/>
        <c:crossAx val="1485041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Dense-Equivalent</a:t>
            </a:r>
            <a:r>
              <a:rPr lang="en-NZ" baseline="0"/>
              <a:t> Throughput vs. Sparsity Level in AlexNet 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results_alexnet_pruned45_cat!$M$2:$M$319</c:f>
              <c:numCache>
                <c:formatCode>General</c:formatCode>
                <c:ptCount val="318"/>
                <c:pt idx="0">
                  <c:v>0.55179999999999996</c:v>
                </c:pt>
                <c:pt idx="1">
                  <c:v>0.56930000000000003</c:v>
                </c:pt>
                <c:pt idx="2">
                  <c:v>0.61329999999999996</c:v>
                </c:pt>
                <c:pt idx="3">
                  <c:v>0.56930000000000003</c:v>
                </c:pt>
                <c:pt idx="4">
                  <c:v>0.53420000000000001</c:v>
                </c:pt>
                <c:pt idx="5">
                  <c:v>0.54300000000000004</c:v>
                </c:pt>
                <c:pt idx="6">
                  <c:v>0.53420000000000001</c:v>
                </c:pt>
                <c:pt idx="7">
                  <c:v>0.59570000000000001</c:v>
                </c:pt>
                <c:pt idx="8">
                  <c:v>0.55179999999999996</c:v>
                </c:pt>
                <c:pt idx="9">
                  <c:v>0.56930000000000003</c:v>
                </c:pt>
                <c:pt idx="10">
                  <c:v>0.61329999999999996</c:v>
                </c:pt>
                <c:pt idx="11">
                  <c:v>0.56930000000000003</c:v>
                </c:pt>
                <c:pt idx="12">
                  <c:v>0.53420000000000001</c:v>
                </c:pt>
                <c:pt idx="13">
                  <c:v>0.54300000000000004</c:v>
                </c:pt>
                <c:pt idx="14">
                  <c:v>0.53420000000000001</c:v>
                </c:pt>
                <c:pt idx="15">
                  <c:v>0.59570000000000001</c:v>
                </c:pt>
                <c:pt idx="16">
                  <c:v>0.55179999999999996</c:v>
                </c:pt>
                <c:pt idx="17">
                  <c:v>0.56930000000000003</c:v>
                </c:pt>
                <c:pt idx="18">
                  <c:v>0.61329999999999996</c:v>
                </c:pt>
                <c:pt idx="19">
                  <c:v>0.56930000000000003</c:v>
                </c:pt>
                <c:pt idx="20">
                  <c:v>0.53420000000000001</c:v>
                </c:pt>
                <c:pt idx="21">
                  <c:v>0.54300000000000004</c:v>
                </c:pt>
                <c:pt idx="22">
                  <c:v>0.53420000000000001</c:v>
                </c:pt>
                <c:pt idx="23">
                  <c:v>0.59570000000000001</c:v>
                </c:pt>
                <c:pt idx="24">
                  <c:v>0.5605</c:v>
                </c:pt>
                <c:pt idx="25">
                  <c:v>0.57809999999999995</c:v>
                </c:pt>
                <c:pt idx="26">
                  <c:v>0.62209999999999999</c:v>
                </c:pt>
                <c:pt idx="27">
                  <c:v>0.57809999999999995</c:v>
                </c:pt>
                <c:pt idx="28">
                  <c:v>0.54300000000000004</c:v>
                </c:pt>
                <c:pt idx="29">
                  <c:v>0.55179999999999996</c:v>
                </c:pt>
                <c:pt idx="30">
                  <c:v>0.54300000000000004</c:v>
                </c:pt>
                <c:pt idx="31">
                  <c:v>0.60450000000000004</c:v>
                </c:pt>
                <c:pt idx="32">
                  <c:v>0.55179999999999996</c:v>
                </c:pt>
                <c:pt idx="33">
                  <c:v>0.56930000000000003</c:v>
                </c:pt>
                <c:pt idx="34">
                  <c:v>0.61329999999999996</c:v>
                </c:pt>
                <c:pt idx="35">
                  <c:v>0.56930000000000003</c:v>
                </c:pt>
                <c:pt idx="36">
                  <c:v>0.53420000000000001</c:v>
                </c:pt>
                <c:pt idx="37">
                  <c:v>0.54300000000000004</c:v>
                </c:pt>
                <c:pt idx="38">
                  <c:v>0.53420000000000001</c:v>
                </c:pt>
                <c:pt idx="39">
                  <c:v>0.59570000000000001</c:v>
                </c:pt>
                <c:pt idx="40">
                  <c:v>0.74390000000000001</c:v>
                </c:pt>
                <c:pt idx="41">
                  <c:v>0.76219999999999999</c:v>
                </c:pt>
                <c:pt idx="42">
                  <c:v>0.80789999999999995</c:v>
                </c:pt>
                <c:pt idx="43">
                  <c:v>0.76219999999999999</c:v>
                </c:pt>
                <c:pt idx="44">
                  <c:v>0.72560000000000002</c:v>
                </c:pt>
                <c:pt idx="45">
                  <c:v>0.73480000000000001</c:v>
                </c:pt>
                <c:pt idx="46">
                  <c:v>0.72560000000000002</c:v>
                </c:pt>
                <c:pt idx="47">
                  <c:v>0.78959999999999997</c:v>
                </c:pt>
                <c:pt idx="48">
                  <c:v>0.52539999999999998</c:v>
                </c:pt>
                <c:pt idx="49">
                  <c:v>0.5605</c:v>
                </c:pt>
                <c:pt idx="50">
                  <c:v>0.57809999999999995</c:v>
                </c:pt>
                <c:pt idx="51">
                  <c:v>0.61329999999999996</c:v>
                </c:pt>
                <c:pt idx="52">
                  <c:v>0.54300000000000004</c:v>
                </c:pt>
                <c:pt idx="53">
                  <c:v>0.57809999999999995</c:v>
                </c:pt>
                <c:pt idx="54">
                  <c:v>0.56930000000000003</c:v>
                </c:pt>
                <c:pt idx="55">
                  <c:v>0.61329999999999996</c:v>
                </c:pt>
                <c:pt idx="56">
                  <c:v>0.58689999999999998</c:v>
                </c:pt>
                <c:pt idx="57">
                  <c:v>0.62209999999999999</c:v>
                </c:pt>
                <c:pt idx="58">
                  <c:v>0.63959999999999995</c:v>
                </c:pt>
                <c:pt idx="59">
                  <c:v>0.67479999999999996</c:v>
                </c:pt>
                <c:pt idx="60">
                  <c:v>0.60450000000000004</c:v>
                </c:pt>
                <c:pt idx="61">
                  <c:v>0.63959999999999995</c:v>
                </c:pt>
                <c:pt idx="62">
                  <c:v>0.63090000000000002</c:v>
                </c:pt>
                <c:pt idx="63">
                  <c:v>0.67479999999999996</c:v>
                </c:pt>
                <c:pt idx="64">
                  <c:v>0.58689999999999998</c:v>
                </c:pt>
                <c:pt idx="65">
                  <c:v>0.62209999999999999</c:v>
                </c:pt>
                <c:pt idx="66">
                  <c:v>0.63959999999999995</c:v>
                </c:pt>
                <c:pt idx="67">
                  <c:v>0.67479999999999996</c:v>
                </c:pt>
                <c:pt idx="68">
                  <c:v>0.60450000000000004</c:v>
                </c:pt>
                <c:pt idx="69">
                  <c:v>0.63959999999999995</c:v>
                </c:pt>
                <c:pt idx="70">
                  <c:v>0.63090000000000002</c:v>
                </c:pt>
                <c:pt idx="71">
                  <c:v>0.67479999999999996</c:v>
                </c:pt>
                <c:pt idx="72">
                  <c:v>0.54300000000000004</c:v>
                </c:pt>
                <c:pt idx="73">
                  <c:v>0.57809999999999995</c:v>
                </c:pt>
                <c:pt idx="74">
                  <c:v>0.59570000000000001</c:v>
                </c:pt>
                <c:pt idx="75">
                  <c:v>0.63090000000000002</c:v>
                </c:pt>
                <c:pt idx="76">
                  <c:v>0.5605</c:v>
                </c:pt>
                <c:pt idx="77">
                  <c:v>0.59570000000000001</c:v>
                </c:pt>
                <c:pt idx="78">
                  <c:v>0.58689999999999998</c:v>
                </c:pt>
                <c:pt idx="79">
                  <c:v>0.63090000000000002</c:v>
                </c:pt>
                <c:pt idx="80">
                  <c:v>0.51659999999999995</c:v>
                </c:pt>
                <c:pt idx="81">
                  <c:v>0.55179999999999996</c:v>
                </c:pt>
                <c:pt idx="82">
                  <c:v>0.56930000000000003</c:v>
                </c:pt>
                <c:pt idx="83">
                  <c:v>0.60450000000000004</c:v>
                </c:pt>
                <c:pt idx="84">
                  <c:v>0.53420000000000001</c:v>
                </c:pt>
                <c:pt idx="85">
                  <c:v>0.56930000000000003</c:v>
                </c:pt>
                <c:pt idx="86">
                  <c:v>0.5605</c:v>
                </c:pt>
                <c:pt idx="87">
                  <c:v>0.60450000000000004</c:v>
                </c:pt>
                <c:pt idx="88">
                  <c:v>0.78049999999999997</c:v>
                </c:pt>
                <c:pt idx="89">
                  <c:v>0.80789999999999995</c:v>
                </c:pt>
                <c:pt idx="90">
                  <c:v>0.8216</c:v>
                </c:pt>
                <c:pt idx="91">
                  <c:v>0.84909999999999997</c:v>
                </c:pt>
                <c:pt idx="92">
                  <c:v>0.79420000000000002</c:v>
                </c:pt>
                <c:pt idx="93">
                  <c:v>0.8216</c:v>
                </c:pt>
                <c:pt idx="94">
                  <c:v>0.81479999999999997</c:v>
                </c:pt>
                <c:pt idx="95">
                  <c:v>0.84909999999999997</c:v>
                </c:pt>
                <c:pt idx="96">
                  <c:v>0.85160000000000002</c:v>
                </c:pt>
                <c:pt idx="97">
                  <c:v>0.84770000000000001</c:v>
                </c:pt>
                <c:pt idx="98">
                  <c:v>0.84770000000000001</c:v>
                </c:pt>
                <c:pt idx="99">
                  <c:v>0.85550000000000004</c:v>
                </c:pt>
                <c:pt idx="100">
                  <c:v>0.84379999999999999</c:v>
                </c:pt>
                <c:pt idx="101">
                  <c:v>0.84379999999999999</c:v>
                </c:pt>
                <c:pt idx="102">
                  <c:v>0.83589999999999998</c:v>
                </c:pt>
                <c:pt idx="103">
                  <c:v>0.83199999999999996</c:v>
                </c:pt>
                <c:pt idx="104">
                  <c:v>0.84770000000000001</c:v>
                </c:pt>
                <c:pt idx="105">
                  <c:v>0.83979999999999999</c:v>
                </c:pt>
                <c:pt idx="106">
                  <c:v>0.83589999999999998</c:v>
                </c:pt>
                <c:pt idx="107">
                  <c:v>0.86329999999999996</c:v>
                </c:pt>
                <c:pt idx="108">
                  <c:v>0.80659999999999998</c:v>
                </c:pt>
                <c:pt idx="109">
                  <c:v>0.80220000000000002</c:v>
                </c:pt>
                <c:pt idx="110">
                  <c:v>0.80220000000000002</c:v>
                </c:pt>
                <c:pt idx="111">
                  <c:v>0.81100000000000005</c:v>
                </c:pt>
                <c:pt idx="112">
                  <c:v>0.79790000000000005</c:v>
                </c:pt>
                <c:pt idx="113">
                  <c:v>0.79790000000000005</c:v>
                </c:pt>
                <c:pt idx="114">
                  <c:v>0.78910000000000002</c:v>
                </c:pt>
                <c:pt idx="115">
                  <c:v>0.78469999999999995</c:v>
                </c:pt>
                <c:pt idx="116">
                  <c:v>0.80220000000000002</c:v>
                </c:pt>
                <c:pt idx="117">
                  <c:v>0.79349999999999998</c:v>
                </c:pt>
                <c:pt idx="118">
                  <c:v>0.78910000000000002</c:v>
                </c:pt>
                <c:pt idx="119">
                  <c:v>0.81979999999999997</c:v>
                </c:pt>
                <c:pt idx="120">
                  <c:v>0.85060000000000002</c:v>
                </c:pt>
                <c:pt idx="121">
                  <c:v>0.84619999999999995</c:v>
                </c:pt>
                <c:pt idx="122">
                  <c:v>0.84619999999999995</c:v>
                </c:pt>
                <c:pt idx="123">
                  <c:v>0.85499999999999998</c:v>
                </c:pt>
                <c:pt idx="124">
                  <c:v>0.84179999999999999</c:v>
                </c:pt>
                <c:pt idx="125">
                  <c:v>0.84179999999999999</c:v>
                </c:pt>
                <c:pt idx="126">
                  <c:v>0.83299999999999996</c:v>
                </c:pt>
                <c:pt idx="127">
                  <c:v>0.8286</c:v>
                </c:pt>
                <c:pt idx="128">
                  <c:v>0.84619999999999995</c:v>
                </c:pt>
                <c:pt idx="129">
                  <c:v>0.83740000000000003</c:v>
                </c:pt>
                <c:pt idx="130">
                  <c:v>0.83299999999999996</c:v>
                </c:pt>
                <c:pt idx="131">
                  <c:v>0.86380000000000001</c:v>
                </c:pt>
                <c:pt idx="132">
                  <c:v>0.92379999999999995</c:v>
                </c:pt>
                <c:pt idx="133">
                  <c:v>0.92090000000000005</c:v>
                </c:pt>
                <c:pt idx="134">
                  <c:v>0.92090000000000005</c:v>
                </c:pt>
                <c:pt idx="135">
                  <c:v>0.92679999999999996</c:v>
                </c:pt>
                <c:pt idx="136">
                  <c:v>0.91800000000000004</c:v>
                </c:pt>
                <c:pt idx="137">
                  <c:v>0.91800000000000004</c:v>
                </c:pt>
                <c:pt idx="138">
                  <c:v>0.91210000000000002</c:v>
                </c:pt>
                <c:pt idx="139">
                  <c:v>0.90920000000000001</c:v>
                </c:pt>
                <c:pt idx="140">
                  <c:v>0.92090000000000005</c:v>
                </c:pt>
                <c:pt idx="141">
                  <c:v>0.91500000000000004</c:v>
                </c:pt>
                <c:pt idx="142">
                  <c:v>0.91210000000000002</c:v>
                </c:pt>
                <c:pt idx="143">
                  <c:v>0.93259999999999998</c:v>
                </c:pt>
                <c:pt idx="144">
                  <c:v>0.83299999999999996</c:v>
                </c:pt>
                <c:pt idx="145">
                  <c:v>0.8286</c:v>
                </c:pt>
                <c:pt idx="146">
                  <c:v>0.8286</c:v>
                </c:pt>
                <c:pt idx="147">
                  <c:v>0.83740000000000003</c:v>
                </c:pt>
                <c:pt idx="148">
                  <c:v>0.82420000000000004</c:v>
                </c:pt>
                <c:pt idx="149">
                  <c:v>0.82420000000000004</c:v>
                </c:pt>
                <c:pt idx="150">
                  <c:v>0.81540000000000001</c:v>
                </c:pt>
                <c:pt idx="151">
                  <c:v>0.81100000000000005</c:v>
                </c:pt>
                <c:pt idx="152">
                  <c:v>0.8286</c:v>
                </c:pt>
                <c:pt idx="153">
                  <c:v>0.81979999999999997</c:v>
                </c:pt>
                <c:pt idx="154">
                  <c:v>0.81540000000000001</c:v>
                </c:pt>
                <c:pt idx="155">
                  <c:v>0.84619999999999995</c:v>
                </c:pt>
                <c:pt idx="156">
                  <c:v>0.94279999999999997</c:v>
                </c:pt>
                <c:pt idx="157">
                  <c:v>0.9405</c:v>
                </c:pt>
                <c:pt idx="158">
                  <c:v>0.9405</c:v>
                </c:pt>
                <c:pt idx="159">
                  <c:v>0.94510000000000005</c:v>
                </c:pt>
                <c:pt idx="160">
                  <c:v>0.93830000000000002</c:v>
                </c:pt>
                <c:pt idx="161">
                  <c:v>0.93830000000000002</c:v>
                </c:pt>
                <c:pt idx="162">
                  <c:v>0.93369999999999997</c:v>
                </c:pt>
                <c:pt idx="163">
                  <c:v>0.93140000000000001</c:v>
                </c:pt>
                <c:pt idx="164">
                  <c:v>0.9405</c:v>
                </c:pt>
                <c:pt idx="165">
                  <c:v>0.93600000000000005</c:v>
                </c:pt>
                <c:pt idx="166">
                  <c:v>0.93369999999999997</c:v>
                </c:pt>
                <c:pt idx="167">
                  <c:v>0.94969999999999999</c:v>
                </c:pt>
                <c:pt idx="168">
                  <c:v>0.61960000000000004</c:v>
                </c:pt>
                <c:pt idx="169">
                  <c:v>0.61960000000000004</c:v>
                </c:pt>
                <c:pt idx="170">
                  <c:v>0.58250000000000002</c:v>
                </c:pt>
                <c:pt idx="171">
                  <c:v>0.66600000000000004</c:v>
                </c:pt>
                <c:pt idx="172">
                  <c:v>0.61960000000000004</c:v>
                </c:pt>
                <c:pt idx="173">
                  <c:v>0.62890000000000001</c:v>
                </c:pt>
                <c:pt idx="174">
                  <c:v>0.4385</c:v>
                </c:pt>
                <c:pt idx="175">
                  <c:v>0.4385</c:v>
                </c:pt>
                <c:pt idx="176">
                  <c:v>0.3896</c:v>
                </c:pt>
                <c:pt idx="177">
                  <c:v>0.4995</c:v>
                </c:pt>
                <c:pt idx="178">
                  <c:v>0.4385</c:v>
                </c:pt>
                <c:pt idx="179">
                  <c:v>0.45069999999999999</c:v>
                </c:pt>
                <c:pt idx="180">
                  <c:v>0.52149999999999996</c:v>
                </c:pt>
                <c:pt idx="181">
                  <c:v>0.52149999999999996</c:v>
                </c:pt>
                <c:pt idx="182">
                  <c:v>0.4824</c:v>
                </c:pt>
                <c:pt idx="183">
                  <c:v>0.57030000000000003</c:v>
                </c:pt>
                <c:pt idx="184">
                  <c:v>0.52149999999999996</c:v>
                </c:pt>
                <c:pt idx="185">
                  <c:v>0.53120000000000001</c:v>
                </c:pt>
                <c:pt idx="186">
                  <c:v>0.65580000000000005</c:v>
                </c:pt>
                <c:pt idx="187">
                  <c:v>0.65580000000000005</c:v>
                </c:pt>
                <c:pt idx="188">
                  <c:v>0.62649999999999995</c:v>
                </c:pt>
                <c:pt idx="189">
                  <c:v>0.69240000000000002</c:v>
                </c:pt>
                <c:pt idx="190">
                  <c:v>0.65580000000000005</c:v>
                </c:pt>
                <c:pt idx="191">
                  <c:v>0.66310000000000002</c:v>
                </c:pt>
                <c:pt idx="192">
                  <c:v>0.67869999999999997</c:v>
                </c:pt>
                <c:pt idx="193">
                  <c:v>0.67869999999999997</c:v>
                </c:pt>
                <c:pt idx="194">
                  <c:v>0.65139999999999998</c:v>
                </c:pt>
                <c:pt idx="195">
                  <c:v>0.71289999999999998</c:v>
                </c:pt>
                <c:pt idx="196">
                  <c:v>0.67869999999999997</c:v>
                </c:pt>
                <c:pt idx="197">
                  <c:v>0.6855</c:v>
                </c:pt>
                <c:pt idx="198">
                  <c:v>0.5605</c:v>
                </c:pt>
                <c:pt idx="199">
                  <c:v>0.5605</c:v>
                </c:pt>
                <c:pt idx="200">
                  <c:v>0.52539999999999998</c:v>
                </c:pt>
                <c:pt idx="201">
                  <c:v>0.60450000000000004</c:v>
                </c:pt>
                <c:pt idx="202">
                  <c:v>0.5605</c:v>
                </c:pt>
                <c:pt idx="203">
                  <c:v>0.56930000000000003</c:v>
                </c:pt>
                <c:pt idx="204">
                  <c:v>0.44969999999999999</c:v>
                </c:pt>
                <c:pt idx="205">
                  <c:v>0.44969999999999999</c:v>
                </c:pt>
                <c:pt idx="206">
                  <c:v>0.40479999999999999</c:v>
                </c:pt>
                <c:pt idx="207">
                  <c:v>0.50590000000000002</c:v>
                </c:pt>
                <c:pt idx="208">
                  <c:v>0.44969999999999999</c:v>
                </c:pt>
                <c:pt idx="209">
                  <c:v>0.46089999999999998</c:v>
                </c:pt>
                <c:pt idx="210">
                  <c:v>0.31640000000000001</c:v>
                </c:pt>
                <c:pt idx="211">
                  <c:v>0.31640000000000001</c:v>
                </c:pt>
                <c:pt idx="212">
                  <c:v>0.26169999999999999</c:v>
                </c:pt>
                <c:pt idx="213">
                  <c:v>0.38479999999999998</c:v>
                </c:pt>
                <c:pt idx="214">
                  <c:v>0.31640000000000001</c:v>
                </c:pt>
                <c:pt idx="215">
                  <c:v>0.3301</c:v>
                </c:pt>
                <c:pt idx="216">
                  <c:v>0.21879999999999999</c:v>
                </c:pt>
                <c:pt idx="217">
                  <c:v>0.21879999999999999</c:v>
                </c:pt>
                <c:pt idx="218">
                  <c:v>0.15620000000000001</c:v>
                </c:pt>
                <c:pt idx="219">
                  <c:v>0.2969</c:v>
                </c:pt>
                <c:pt idx="220">
                  <c:v>0.21879999999999999</c:v>
                </c:pt>
                <c:pt idx="221">
                  <c:v>0.2344</c:v>
                </c:pt>
                <c:pt idx="222">
                  <c:v>0.39360000000000001</c:v>
                </c:pt>
                <c:pt idx="223">
                  <c:v>0.39360000000000001</c:v>
                </c:pt>
                <c:pt idx="224">
                  <c:v>0.34079999999999999</c:v>
                </c:pt>
                <c:pt idx="225">
                  <c:v>0.45950000000000002</c:v>
                </c:pt>
                <c:pt idx="226">
                  <c:v>0.39360000000000001</c:v>
                </c:pt>
                <c:pt idx="227">
                  <c:v>0.40670000000000001</c:v>
                </c:pt>
                <c:pt idx="228">
                  <c:v>0.53120000000000001</c:v>
                </c:pt>
                <c:pt idx="229">
                  <c:v>0.53120000000000001</c:v>
                </c:pt>
                <c:pt idx="230">
                  <c:v>0.49220000000000003</c:v>
                </c:pt>
                <c:pt idx="231">
                  <c:v>0.58009999999999995</c:v>
                </c:pt>
                <c:pt idx="232">
                  <c:v>0.53120000000000001</c:v>
                </c:pt>
                <c:pt idx="233">
                  <c:v>0.54100000000000004</c:v>
                </c:pt>
                <c:pt idx="234">
                  <c:v>0.66310000000000002</c:v>
                </c:pt>
                <c:pt idx="235">
                  <c:v>0.66310000000000002</c:v>
                </c:pt>
                <c:pt idx="236">
                  <c:v>0.63380000000000003</c:v>
                </c:pt>
                <c:pt idx="237">
                  <c:v>0.69969999999999999</c:v>
                </c:pt>
                <c:pt idx="238">
                  <c:v>0.66310000000000002</c:v>
                </c:pt>
                <c:pt idx="239">
                  <c:v>0.6704</c:v>
                </c:pt>
                <c:pt idx="240">
                  <c:v>0.58499999999999996</c:v>
                </c:pt>
                <c:pt idx="241">
                  <c:v>0.58499999999999996</c:v>
                </c:pt>
                <c:pt idx="242">
                  <c:v>0.55179999999999996</c:v>
                </c:pt>
                <c:pt idx="243">
                  <c:v>0.62649999999999995</c:v>
                </c:pt>
                <c:pt idx="244">
                  <c:v>0.58499999999999996</c:v>
                </c:pt>
                <c:pt idx="245">
                  <c:v>0.59330000000000005</c:v>
                </c:pt>
                <c:pt idx="246">
                  <c:v>0.56930000000000003</c:v>
                </c:pt>
                <c:pt idx="247">
                  <c:v>0.56930000000000003</c:v>
                </c:pt>
                <c:pt idx="248">
                  <c:v>0.53420000000000001</c:v>
                </c:pt>
                <c:pt idx="249">
                  <c:v>0.61329999999999996</c:v>
                </c:pt>
                <c:pt idx="250">
                  <c:v>0.56930000000000003</c:v>
                </c:pt>
                <c:pt idx="251">
                  <c:v>0.57809999999999995</c:v>
                </c:pt>
                <c:pt idx="252">
                  <c:v>0.46089999999999998</c:v>
                </c:pt>
                <c:pt idx="253">
                  <c:v>0.46089999999999998</c:v>
                </c:pt>
                <c:pt idx="254">
                  <c:v>0.41599999999999998</c:v>
                </c:pt>
                <c:pt idx="255">
                  <c:v>0.5171</c:v>
                </c:pt>
                <c:pt idx="256">
                  <c:v>0.46089999999999998</c:v>
                </c:pt>
                <c:pt idx="257">
                  <c:v>0.47220000000000001</c:v>
                </c:pt>
                <c:pt idx="258">
                  <c:v>0.42630000000000001</c:v>
                </c:pt>
                <c:pt idx="259">
                  <c:v>0.42630000000000001</c:v>
                </c:pt>
                <c:pt idx="260">
                  <c:v>0.37740000000000001</c:v>
                </c:pt>
                <c:pt idx="261">
                  <c:v>0.48730000000000001</c:v>
                </c:pt>
                <c:pt idx="262">
                  <c:v>0.42630000000000001</c:v>
                </c:pt>
                <c:pt idx="263">
                  <c:v>0.4385</c:v>
                </c:pt>
                <c:pt idx="264">
                  <c:v>0.54879999999999995</c:v>
                </c:pt>
                <c:pt idx="265">
                  <c:v>0.54879999999999995</c:v>
                </c:pt>
                <c:pt idx="266">
                  <c:v>0.50780000000000003</c:v>
                </c:pt>
                <c:pt idx="267">
                  <c:v>0.60009999999999997</c:v>
                </c:pt>
                <c:pt idx="268">
                  <c:v>0.54879999999999995</c:v>
                </c:pt>
                <c:pt idx="269">
                  <c:v>0.55910000000000004</c:v>
                </c:pt>
                <c:pt idx="270">
                  <c:v>0.63280000000000003</c:v>
                </c:pt>
                <c:pt idx="271">
                  <c:v>0.63280000000000003</c:v>
                </c:pt>
                <c:pt idx="272">
                  <c:v>0.60160000000000002</c:v>
                </c:pt>
                <c:pt idx="273">
                  <c:v>0.67190000000000005</c:v>
                </c:pt>
                <c:pt idx="274">
                  <c:v>0.63280000000000003</c:v>
                </c:pt>
                <c:pt idx="275">
                  <c:v>0.64059999999999995</c:v>
                </c:pt>
                <c:pt idx="276">
                  <c:v>0.57809999999999995</c:v>
                </c:pt>
                <c:pt idx="277">
                  <c:v>0.57809999999999995</c:v>
                </c:pt>
                <c:pt idx="278">
                  <c:v>0.54300000000000004</c:v>
                </c:pt>
                <c:pt idx="279">
                  <c:v>0.62209999999999999</c:v>
                </c:pt>
                <c:pt idx="280">
                  <c:v>0.57809999999999995</c:v>
                </c:pt>
                <c:pt idx="281">
                  <c:v>0.58689999999999998</c:v>
                </c:pt>
                <c:pt idx="282">
                  <c:v>0.55079999999999996</c:v>
                </c:pt>
                <c:pt idx="283">
                  <c:v>0.55079999999999996</c:v>
                </c:pt>
                <c:pt idx="284">
                  <c:v>0.51170000000000004</c:v>
                </c:pt>
                <c:pt idx="285">
                  <c:v>0.59960000000000002</c:v>
                </c:pt>
                <c:pt idx="286">
                  <c:v>0.55079999999999996</c:v>
                </c:pt>
                <c:pt idx="287">
                  <c:v>0.5605</c:v>
                </c:pt>
                <c:pt idx="288">
                  <c:v>0.4844</c:v>
                </c:pt>
                <c:pt idx="289">
                  <c:v>0.4844</c:v>
                </c:pt>
                <c:pt idx="290">
                  <c:v>0.44140000000000001</c:v>
                </c:pt>
                <c:pt idx="291">
                  <c:v>0.53810000000000002</c:v>
                </c:pt>
                <c:pt idx="292">
                  <c:v>0.4844</c:v>
                </c:pt>
                <c:pt idx="293">
                  <c:v>0.49509999999999998</c:v>
                </c:pt>
                <c:pt idx="294">
                  <c:v>0.40329999999999999</c:v>
                </c:pt>
                <c:pt idx="295">
                  <c:v>0.40329999999999999</c:v>
                </c:pt>
                <c:pt idx="296">
                  <c:v>0.35249999999999998</c:v>
                </c:pt>
                <c:pt idx="297">
                  <c:v>0.46679999999999999</c:v>
                </c:pt>
                <c:pt idx="298">
                  <c:v>0.40329999999999999</c:v>
                </c:pt>
                <c:pt idx="299">
                  <c:v>0.41599999999999998</c:v>
                </c:pt>
                <c:pt idx="300">
                  <c:v>0.51749999999999996</c:v>
                </c:pt>
                <c:pt idx="301">
                  <c:v>0.51749999999999996</c:v>
                </c:pt>
                <c:pt idx="302">
                  <c:v>0.46929999999999999</c:v>
                </c:pt>
                <c:pt idx="303">
                  <c:v>0.57789999999999997</c:v>
                </c:pt>
                <c:pt idx="304">
                  <c:v>0.51749999999999996</c:v>
                </c:pt>
                <c:pt idx="305">
                  <c:v>0.52959999999999996</c:v>
                </c:pt>
                <c:pt idx="306">
                  <c:v>0.2031</c:v>
                </c:pt>
                <c:pt idx="307">
                  <c:v>0.25</c:v>
                </c:pt>
                <c:pt idx="308">
                  <c:v>0.2031</c:v>
                </c:pt>
                <c:pt idx="309">
                  <c:v>0.25</c:v>
                </c:pt>
                <c:pt idx="310">
                  <c:v>0.2031</c:v>
                </c:pt>
                <c:pt idx="311">
                  <c:v>0.25</c:v>
                </c:pt>
                <c:pt idx="312">
                  <c:v>0.2031</c:v>
                </c:pt>
                <c:pt idx="313">
                  <c:v>0.25</c:v>
                </c:pt>
                <c:pt idx="314">
                  <c:v>0.2031</c:v>
                </c:pt>
                <c:pt idx="315">
                  <c:v>0.25</c:v>
                </c:pt>
                <c:pt idx="316">
                  <c:v>0.31709999999999999</c:v>
                </c:pt>
                <c:pt idx="317">
                  <c:v>0.39019999999999999</c:v>
                </c:pt>
              </c:numCache>
            </c:numRef>
          </c:xVal>
          <c:yVal>
            <c:numRef>
              <c:f>results_alexnet_pruned45_cat!$Y$2:$Y$319</c:f>
              <c:numCache>
                <c:formatCode>General</c:formatCode>
                <c:ptCount val="318"/>
                <c:pt idx="0">
                  <c:v>68.470447761194038</c:v>
                </c:pt>
                <c:pt idx="1">
                  <c:v>70.577230769230781</c:v>
                </c:pt>
                <c:pt idx="2">
                  <c:v>76.458666666666673</c:v>
                </c:pt>
                <c:pt idx="3">
                  <c:v>70.577230769230781</c:v>
                </c:pt>
                <c:pt idx="4">
                  <c:v>66.485797101449279</c:v>
                </c:pt>
                <c:pt idx="5">
                  <c:v>67.463529411764711</c:v>
                </c:pt>
                <c:pt idx="6">
                  <c:v>66.485797101449279</c:v>
                </c:pt>
                <c:pt idx="7">
                  <c:v>73.992258064516136</c:v>
                </c:pt>
                <c:pt idx="8">
                  <c:v>68.470447761194038</c:v>
                </c:pt>
                <c:pt idx="9">
                  <c:v>70.577230769230781</c:v>
                </c:pt>
                <c:pt idx="10">
                  <c:v>76.458666666666673</c:v>
                </c:pt>
                <c:pt idx="11">
                  <c:v>70.577230769230781</c:v>
                </c:pt>
                <c:pt idx="12">
                  <c:v>66.485797101449279</c:v>
                </c:pt>
                <c:pt idx="13">
                  <c:v>67.463529411764711</c:v>
                </c:pt>
                <c:pt idx="14">
                  <c:v>66.485797101449279</c:v>
                </c:pt>
                <c:pt idx="15">
                  <c:v>73.992258064516136</c:v>
                </c:pt>
                <c:pt idx="16">
                  <c:v>68.470447761194038</c:v>
                </c:pt>
                <c:pt idx="17">
                  <c:v>70.577230769230781</c:v>
                </c:pt>
                <c:pt idx="18">
                  <c:v>76.458666666666673</c:v>
                </c:pt>
                <c:pt idx="19">
                  <c:v>70.577230769230781</c:v>
                </c:pt>
                <c:pt idx="20">
                  <c:v>66.485797101449279</c:v>
                </c:pt>
                <c:pt idx="21">
                  <c:v>67.463529411764711</c:v>
                </c:pt>
                <c:pt idx="22">
                  <c:v>66.485797101449279</c:v>
                </c:pt>
                <c:pt idx="23">
                  <c:v>73.992258064516136</c:v>
                </c:pt>
                <c:pt idx="24">
                  <c:v>69.507878787878795</c:v>
                </c:pt>
                <c:pt idx="25">
                  <c:v>71.680000000000007</c:v>
                </c:pt>
                <c:pt idx="26">
                  <c:v>77.754576271186451</c:v>
                </c:pt>
                <c:pt idx="27">
                  <c:v>71.680000000000007</c:v>
                </c:pt>
                <c:pt idx="28">
                  <c:v>67.463529411764711</c:v>
                </c:pt>
                <c:pt idx="29">
                  <c:v>68.470447761194038</c:v>
                </c:pt>
                <c:pt idx="30">
                  <c:v>67.463529411764711</c:v>
                </c:pt>
                <c:pt idx="31">
                  <c:v>75.205245901639358</c:v>
                </c:pt>
                <c:pt idx="32">
                  <c:v>68.470447761194038</c:v>
                </c:pt>
                <c:pt idx="33">
                  <c:v>70.577230769230781</c:v>
                </c:pt>
                <c:pt idx="34">
                  <c:v>76.458666666666673</c:v>
                </c:pt>
                <c:pt idx="35">
                  <c:v>70.577230769230781</c:v>
                </c:pt>
                <c:pt idx="36">
                  <c:v>66.485797101449279</c:v>
                </c:pt>
                <c:pt idx="37">
                  <c:v>67.463529411764711</c:v>
                </c:pt>
                <c:pt idx="38">
                  <c:v>66.485797101449279</c:v>
                </c:pt>
                <c:pt idx="39">
                  <c:v>73.992258064516136</c:v>
                </c:pt>
                <c:pt idx="40">
                  <c:v>33.953684210526319</c:v>
                </c:pt>
                <c:pt idx="41">
                  <c:v>35.840000000000003</c:v>
                </c:pt>
                <c:pt idx="42">
                  <c:v>41.620645161290327</c:v>
                </c:pt>
                <c:pt idx="43">
                  <c:v>35.840000000000003</c:v>
                </c:pt>
                <c:pt idx="44">
                  <c:v>32.256000000000007</c:v>
                </c:pt>
                <c:pt idx="45">
                  <c:v>33.083076923076931</c:v>
                </c:pt>
                <c:pt idx="46">
                  <c:v>32.256000000000007</c:v>
                </c:pt>
                <c:pt idx="47">
                  <c:v>39.098181818181821</c:v>
                </c:pt>
                <c:pt idx="48">
                  <c:v>65.536000000000001</c:v>
                </c:pt>
                <c:pt idx="49">
                  <c:v>69.507878787878795</c:v>
                </c:pt>
                <c:pt idx="50">
                  <c:v>71.680000000000007</c:v>
                </c:pt>
                <c:pt idx="51">
                  <c:v>76.458666666666673</c:v>
                </c:pt>
                <c:pt idx="52">
                  <c:v>67.463529411764711</c:v>
                </c:pt>
                <c:pt idx="53">
                  <c:v>71.680000000000007</c:v>
                </c:pt>
                <c:pt idx="54">
                  <c:v>70.577230769230781</c:v>
                </c:pt>
                <c:pt idx="55">
                  <c:v>76.458666666666673</c:v>
                </c:pt>
                <c:pt idx="56">
                  <c:v>72.817777777777778</c:v>
                </c:pt>
                <c:pt idx="57">
                  <c:v>77.754576271186451</c:v>
                </c:pt>
                <c:pt idx="58">
                  <c:v>80.482807017543863</c:v>
                </c:pt>
                <c:pt idx="59">
                  <c:v>86.556981132075478</c:v>
                </c:pt>
                <c:pt idx="60">
                  <c:v>75.205245901639358</c:v>
                </c:pt>
                <c:pt idx="61">
                  <c:v>80.482807017543863</c:v>
                </c:pt>
                <c:pt idx="62">
                  <c:v>79.095172413793108</c:v>
                </c:pt>
                <c:pt idx="63">
                  <c:v>86.556981132075478</c:v>
                </c:pt>
                <c:pt idx="64">
                  <c:v>72.817777777777778</c:v>
                </c:pt>
                <c:pt idx="65">
                  <c:v>77.754576271186451</c:v>
                </c:pt>
                <c:pt idx="66">
                  <c:v>80.482807017543863</c:v>
                </c:pt>
                <c:pt idx="67">
                  <c:v>86.556981132075478</c:v>
                </c:pt>
                <c:pt idx="68">
                  <c:v>75.205245901639358</c:v>
                </c:pt>
                <c:pt idx="69">
                  <c:v>80.482807017543863</c:v>
                </c:pt>
                <c:pt idx="70">
                  <c:v>79.095172413793108</c:v>
                </c:pt>
                <c:pt idx="71">
                  <c:v>86.556981132075478</c:v>
                </c:pt>
                <c:pt idx="72">
                  <c:v>67.463529411764711</c:v>
                </c:pt>
                <c:pt idx="73">
                  <c:v>71.680000000000007</c:v>
                </c:pt>
                <c:pt idx="74">
                  <c:v>73.992258064516136</c:v>
                </c:pt>
                <c:pt idx="75">
                  <c:v>79.095172413793108</c:v>
                </c:pt>
                <c:pt idx="76">
                  <c:v>69.507878787878795</c:v>
                </c:pt>
                <c:pt idx="77">
                  <c:v>73.992258064516136</c:v>
                </c:pt>
                <c:pt idx="78">
                  <c:v>72.817777777777778</c:v>
                </c:pt>
                <c:pt idx="79">
                  <c:v>79.095172413793108</c:v>
                </c:pt>
                <c:pt idx="80">
                  <c:v>64.612957746478884</c:v>
                </c:pt>
                <c:pt idx="81">
                  <c:v>68.470447761194038</c:v>
                </c:pt>
                <c:pt idx="82">
                  <c:v>70.577230769230781</c:v>
                </c:pt>
                <c:pt idx="83">
                  <c:v>75.205245901639358</c:v>
                </c:pt>
                <c:pt idx="84">
                  <c:v>66.485797101449279</c:v>
                </c:pt>
                <c:pt idx="85">
                  <c:v>70.577230769230781</c:v>
                </c:pt>
                <c:pt idx="86">
                  <c:v>69.507878787878795</c:v>
                </c:pt>
                <c:pt idx="87">
                  <c:v>75.205245901639358</c:v>
                </c:pt>
                <c:pt idx="88">
                  <c:v>33.083076923076931</c:v>
                </c:pt>
                <c:pt idx="89">
                  <c:v>36.863999999999997</c:v>
                </c:pt>
                <c:pt idx="90">
                  <c:v>39.098181818181821</c:v>
                </c:pt>
                <c:pt idx="91">
                  <c:v>44.491034482758629</c:v>
                </c:pt>
                <c:pt idx="92">
                  <c:v>34.871351351351358</c:v>
                </c:pt>
                <c:pt idx="93">
                  <c:v>39.098181818181821</c:v>
                </c:pt>
                <c:pt idx="94">
                  <c:v>37.948235294117652</c:v>
                </c:pt>
                <c:pt idx="95">
                  <c:v>44.491034482758629</c:v>
                </c:pt>
                <c:pt idx="96">
                  <c:v>104.2618181818182</c:v>
                </c:pt>
                <c:pt idx="97">
                  <c:v>101.9448888888889</c:v>
                </c:pt>
                <c:pt idx="98">
                  <c:v>101.9448888888889</c:v>
                </c:pt>
                <c:pt idx="99">
                  <c:v>106.68651162790698</c:v>
                </c:pt>
                <c:pt idx="100">
                  <c:v>99.728695652173926</c:v>
                </c:pt>
                <c:pt idx="101">
                  <c:v>99.728695652173926</c:v>
                </c:pt>
                <c:pt idx="102">
                  <c:v>95.573333333333338</c:v>
                </c:pt>
                <c:pt idx="103">
                  <c:v>93.622857142857143</c:v>
                </c:pt>
                <c:pt idx="104">
                  <c:v>101.9448888888889</c:v>
                </c:pt>
                <c:pt idx="105">
                  <c:v>97.606808510638302</c:v>
                </c:pt>
                <c:pt idx="106">
                  <c:v>95.573333333333338</c:v>
                </c:pt>
                <c:pt idx="107">
                  <c:v>111.89073170731709</c:v>
                </c:pt>
                <c:pt idx="108">
                  <c:v>89.951372549019609</c:v>
                </c:pt>
                <c:pt idx="109">
                  <c:v>88.221538461538472</c:v>
                </c:pt>
                <c:pt idx="110">
                  <c:v>88.221538461538472</c:v>
                </c:pt>
                <c:pt idx="111">
                  <c:v>91.750400000000013</c:v>
                </c:pt>
                <c:pt idx="112">
                  <c:v>86.556981132075478</c:v>
                </c:pt>
                <c:pt idx="113">
                  <c:v>86.556981132075478</c:v>
                </c:pt>
                <c:pt idx="114">
                  <c:v>83.409454545454551</c:v>
                </c:pt>
                <c:pt idx="115">
                  <c:v>81.92</c:v>
                </c:pt>
                <c:pt idx="116">
                  <c:v>88.221538461538472</c:v>
                </c:pt>
                <c:pt idx="117">
                  <c:v>84.954074074074072</c:v>
                </c:pt>
                <c:pt idx="118">
                  <c:v>83.409454545454551</c:v>
                </c:pt>
                <c:pt idx="119">
                  <c:v>95.573333333333338</c:v>
                </c:pt>
                <c:pt idx="120">
                  <c:v>111.89073170731709</c:v>
                </c:pt>
                <c:pt idx="121">
                  <c:v>109.22666666666667</c:v>
                </c:pt>
                <c:pt idx="122">
                  <c:v>109.22666666666667</c:v>
                </c:pt>
                <c:pt idx="123">
                  <c:v>114.68800000000002</c:v>
                </c:pt>
                <c:pt idx="124">
                  <c:v>106.68651162790698</c:v>
                </c:pt>
                <c:pt idx="125">
                  <c:v>106.68651162790698</c:v>
                </c:pt>
                <c:pt idx="126">
                  <c:v>101.9448888888889</c:v>
                </c:pt>
                <c:pt idx="127">
                  <c:v>99.728695652173926</c:v>
                </c:pt>
                <c:pt idx="128">
                  <c:v>109.22666666666667</c:v>
                </c:pt>
                <c:pt idx="129">
                  <c:v>104.2618181818182</c:v>
                </c:pt>
                <c:pt idx="130">
                  <c:v>101.9448888888889</c:v>
                </c:pt>
                <c:pt idx="131">
                  <c:v>120.7242105263158</c:v>
                </c:pt>
                <c:pt idx="132">
                  <c:v>152.91733333333335</c:v>
                </c:pt>
                <c:pt idx="133">
                  <c:v>147.98451612903227</c:v>
                </c:pt>
                <c:pt idx="134">
                  <c:v>147.98451612903227</c:v>
                </c:pt>
                <c:pt idx="135">
                  <c:v>158.19034482758622</c:v>
                </c:pt>
                <c:pt idx="136">
                  <c:v>143.36000000000001</c:v>
                </c:pt>
                <c:pt idx="137">
                  <c:v>143.36000000000001</c:v>
                </c:pt>
                <c:pt idx="138">
                  <c:v>134.92705882352942</c:v>
                </c:pt>
                <c:pt idx="139">
                  <c:v>131.072</c:v>
                </c:pt>
                <c:pt idx="140">
                  <c:v>147.98451612903227</c:v>
                </c:pt>
                <c:pt idx="141">
                  <c:v>139.01575757575759</c:v>
                </c:pt>
                <c:pt idx="142">
                  <c:v>134.92705882352942</c:v>
                </c:pt>
                <c:pt idx="143">
                  <c:v>169.90814814814814</c:v>
                </c:pt>
                <c:pt idx="144">
                  <c:v>101.9448888888889</c:v>
                </c:pt>
                <c:pt idx="145">
                  <c:v>99.728695652173926</c:v>
                </c:pt>
                <c:pt idx="146">
                  <c:v>99.728695652173926</c:v>
                </c:pt>
                <c:pt idx="147">
                  <c:v>104.2618181818182</c:v>
                </c:pt>
                <c:pt idx="148">
                  <c:v>97.606808510638302</c:v>
                </c:pt>
                <c:pt idx="149">
                  <c:v>97.606808510638302</c:v>
                </c:pt>
                <c:pt idx="150">
                  <c:v>93.622857142857143</c:v>
                </c:pt>
                <c:pt idx="151">
                  <c:v>91.750400000000013</c:v>
                </c:pt>
                <c:pt idx="152">
                  <c:v>99.728695652173926</c:v>
                </c:pt>
                <c:pt idx="153">
                  <c:v>95.573333333333338</c:v>
                </c:pt>
                <c:pt idx="154">
                  <c:v>93.622857142857143</c:v>
                </c:pt>
                <c:pt idx="155">
                  <c:v>109.22666666666667</c:v>
                </c:pt>
                <c:pt idx="156">
                  <c:v>49.624615384615389</c:v>
                </c:pt>
                <c:pt idx="157">
                  <c:v>47.786666666666669</c:v>
                </c:pt>
                <c:pt idx="158">
                  <c:v>47.786666666666669</c:v>
                </c:pt>
                <c:pt idx="159">
                  <c:v>51.6096</c:v>
                </c:pt>
                <c:pt idx="160">
                  <c:v>46.080000000000005</c:v>
                </c:pt>
                <c:pt idx="161">
                  <c:v>46.080000000000005</c:v>
                </c:pt>
                <c:pt idx="162">
                  <c:v>43.008000000000003</c:v>
                </c:pt>
                <c:pt idx="163">
                  <c:v>41.620645161290327</c:v>
                </c:pt>
                <c:pt idx="164">
                  <c:v>47.786666666666669</c:v>
                </c:pt>
                <c:pt idx="165">
                  <c:v>44.491034482758629</c:v>
                </c:pt>
                <c:pt idx="166">
                  <c:v>43.008000000000003</c:v>
                </c:pt>
                <c:pt idx="167">
                  <c:v>56.09739130434783</c:v>
                </c:pt>
                <c:pt idx="168">
                  <c:v>79.095172413793108</c:v>
                </c:pt>
                <c:pt idx="169">
                  <c:v>79.095172413793108</c:v>
                </c:pt>
                <c:pt idx="170">
                  <c:v>73.992258064516136</c:v>
                </c:pt>
                <c:pt idx="171">
                  <c:v>86.556981132075478</c:v>
                </c:pt>
                <c:pt idx="172">
                  <c:v>79.095172413793108</c:v>
                </c:pt>
                <c:pt idx="173">
                  <c:v>80.482807017543863</c:v>
                </c:pt>
                <c:pt idx="174">
                  <c:v>66.485797101449279</c:v>
                </c:pt>
                <c:pt idx="175">
                  <c:v>66.485797101449279</c:v>
                </c:pt>
                <c:pt idx="176">
                  <c:v>62.842739726027396</c:v>
                </c:pt>
                <c:pt idx="177">
                  <c:v>71.680000000000007</c:v>
                </c:pt>
                <c:pt idx="178">
                  <c:v>66.485797101449279</c:v>
                </c:pt>
                <c:pt idx="179">
                  <c:v>67.463529411764711</c:v>
                </c:pt>
                <c:pt idx="180">
                  <c:v>68.470447761194038</c:v>
                </c:pt>
                <c:pt idx="181">
                  <c:v>68.470447761194038</c:v>
                </c:pt>
                <c:pt idx="182">
                  <c:v>64.612957746478884</c:v>
                </c:pt>
                <c:pt idx="183">
                  <c:v>73.992258064516136</c:v>
                </c:pt>
                <c:pt idx="184">
                  <c:v>68.470447761194038</c:v>
                </c:pt>
                <c:pt idx="185">
                  <c:v>69.507878787878795</c:v>
                </c:pt>
                <c:pt idx="186">
                  <c:v>76.458666666666673</c:v>
                </c:pt>
                <c:pt idx="187">
                  <c:v>76.458666666666673</c:v>
                </c:pt>
                <c:pt idx="188">
                  <c:v>71.680000000000007</c:v>
                </c:pt>
                <c:pt idx="189">
                  <c:v>83.409454545454551</c:v>
                </c:pt>
                <c:pt idx="190">
                  <c:v>76.458666666666673</c:v>
                </c:pt>
                <c:pt idx="191">
                  <c:v>77.754576271186451</c:v>
                </c:pt>
                <c:pt idx="192">
                  <c:v>77.754576271186451</c:v>
                </c:pt>
                <c:pt idx="193">
                  <c:v>77.754576271186451</c:v>
                </c:pt>
                <c:pt idx="194">
                  <c:v>72.817777777777778</c:v>
                </c:pt>
                <c:pt idx="195">
                  <c:v>84.954074074074072</c:v>
                </c:pt>
                <c:pt idx="196">
                  <c:v>77.754576271186451</c:v>
                </c:pt>
                <c:pt idx="197">
                  <c:v>79.095172413793108</c:v>
                </c:pt>
                <c:pt idx="198">
                  <c:v>69.507878787878795</c:v>
                </c:pt>
                <c:pt idx="199">
                  <c:v>69.507878787878795</c:v>
                </c:pt>
                <c:pt idx="200">
                  <c:v>65.536000000000001</c:v>
                </c:pt>
                <c:pt idx="201">
                  <c:v>75.205245901639358</c:v>
                </c:pt>
                <c:pt idx="202">
                  <c:v>69.507878787878795</c:v>
                </c:pt>
                <c:pt idx="203">
                  <c:v>70.577230769230781</c:v>
                </c:pt>
                <c:pt idx="204">
                  <c:v>65.536000000000001</c:v>
                </c:pt>
                <c:pt idx="205">
                  <c:v>65.536000000000001</c:v>
                </c:pt>
                <c:pt idx="206">
                  <c:v>61.99351351351352</c:v>
                </c:pt>
                <c:pt idx="207">
                  <c:v>70.577230769230781</c:v>
                </c:pt>
                <c:pt idx="208">
                  <c:v>65.536000000000001</c:v>
                </c:pt>
                <c:pt idx="209">
                  <c:v>66.485797101449279</c:v>
                </c:pt>
                <c:pt idx="210">
                  <c:v>60.3621052631579</c:v>
                </c:pt>
                <c:pt idx="211">
                  <c:v>60.3621052631579</c:v>
                </c:pt>
                <c:pt idx="212">
                  <c:v>57.344000000000008</c:v>
                </c:pt>
                <c:pt idx="213">
                  <c:v>64.612957746478884</c:v>
                </c:pt>
                <c:pt idx="214">
                  <c:v>60.3621052631579</c:v>
                </c:pt>
                <c:pt idx="215">
                  <c:v>61.16693333333334</c:v>
                </c:pt>
                <c:pt idx="216">
                  <c:v>57.344000000000008</c:v>
                </c:pt>
                <c:pt idx="217">
                  <c:v>57.344000000000008</c:v>
                </c:pt>
                <c:pt idx="218">
                  <c:v>54.613333333333337</c:v>
                </c:pt>
                <c:pt idx="219">
                  <c:v>61.16693333333334</c:v>
                </c:pt>
                <c:pt idx="220">
                  <c:v>57.344000000000008</c:v>
                </c:pt>
                <c:pt idx="221">
                  <c:v>58.069873417721524</c:v>
                </c:pt>
                <c:pt idx="222">
                  <c:v>64.612957746478884</c:v>
                </c:pt>
                <c:pt idx="223">
                  <c:v>64.612957746478884</c:v>
                </c:pt>
                <c:pt idx="224">
                  <c:v>61.16693333333334</c:v>
                </c:pt>
                <c:pt idx="225">
                  <c:v>69.507878787878795</c:v>
                </c:pt>
                <c:pt idx="226">
                  <c:v>64.612957746478884</c:v>
                </c:pt>
                <c:pt idx="227">
                  <c:v>65.536000000000001</c:v>
                </c:pt>
                <c:pt idx="228">
                  <c:v>69.507878787878795</c:v>
                </c:pt>
                <c:pt idx="229">
                  <c:v>69.507878787878795</c:v>
                </c:pt>
                <c:pt idx="230">
                  <c:v>65.536000000000001</c:v>
                </c:pt>
                <c:pt idx="231">
                  <c:v>75.205245901639358</c:v>
                </c:pt>
                <c:pt idx="232">
                  <c:v>69.507878787878795</c:v>
                </c:pt>
                <c:pt idx="233">
                  <c:v>70.577230769230781</c:v>
                </c:pt>
                <c:pt idx="234">
                  <c:v>77.754576271186451</c:v>
                </c:pt>
                <c:pt idx="235">
                  <c:v>77.754576271186451</c:v>
                </c:pt>
                <c:pt idx="236">
                  <c:v>72.817777777777778</c:v>
                </c:pt>
                <c:pt idx="237">
                  <c:v>84.954074074074072</c:v>
                </c:pt>
                <c:pt idx="238">
                  <c:v>77.754576271186451</c:v>
                </c:pt>
                <c:pt idx="239">
                  <c:v>79.095172413793108</c:v>
                </c:pt>
                <c:pt idx="240">
                  <c:v>70.577230769230781</c:v>
                </c:pt>
                <c:pt idx="241">
                  <c:v>70.577230769230781</c:v>
                </c:pt>
                <c:pt idx="242">
                  <c:v>66.485797101449279</c:v>
                </c:pt>
                <c:pt idx="243">
                  <c:v>76.458666666666673</c:v>
                </c:pt>
                <c:pt idx="244">
                  <c:v>70.577230769230781</c:v>
                </c:pt>
                <c:pt idx="245">
                  <c:v>71.680000000000007</c:v>
                </c:pt>
                <c:pt idx="246">
                  <c:v>70.577230769230781</c:v>
                </c:pt>
                <c:pt idx="247">
                  <c:v>70.577230769230781</c:v>
                </c:pt>
                <c:pt idx="248">
                  <c:v>66.485797101449279</c:v>
                </c:pt>
                <c:pt idx="249">
                  <c:v>76.458666666666673</c:v>
                </c:pt>
                <c:pt idx="250">
                  <c:v>70.577230769230781</c:v>
                </c:pt>
                <c:pt idx="251">
                  <c:v>71.680000000000007</c:v>
                </c:pt>
                <c:pt idx="252">
                  <c:v>66.485797101449279</c:v>
                </c:pt>
                <c:pt idx="253">
                  <c:v>66.485797101449279</c:v>
                </c:pt>
                <c:pt idx="254">
                  <c:v>62.842739726027396</c:v>
                </c:pt>
                <c:pt idx="255">
                  <c:v>71.680000000000007</c:v>
                </c:pt>
                <c:pt idx="256">
                  <c:v>66.485797101449279</c:v>
                </c:pt>
                <c:pt idx="257">
                  <c:v>67.463529411764711</c:v>
                </c:pt>
                <c:pt idx="258">
                  <c:v>65.536000000000001</c:v>
                </c:pt>
                <c:pt idx="259">
                  <c:v>65.536000000000001</c:v>
                </c:pt>
                <c:pt idx="260">
                  <c:v>61.99351351351352</c:v>
                </c:pt>
                <c:pt idx="261">
                  <c:v>70.577230769230781</c:v>
                </c:pt>
                <c:pt idx="262">
                  <c:v>65.536000000000001</c:v>
                </c:pt>
                <c:pt idx="263">
                  <c:v>66.485797101449279</c:v>
                </c:pt>
                <c:pt idx="264">
                  <c:v>72.817777777777778</c:v>
                </c:pt>
                <c:pt idx="265">
                  <c:v>72.817777777777778</c:v>
                </c:pt>
                <c:pt idx="266">
                  <c:v>68.470447761194038</c:v>
                </c:pt>
                <c:pt idx="267">
                  <c:v>79.095172413793108</c:v>
                </c:pt>
                <c:pt idx="268">
                  <c:v>72.817777777777778</c:v>
                </c:pt>
                <c:pt idx="269">
                  <c:v>73.992258064516136</c:v>
                </c:pt>
                <c:pt idx="270">
                  <c:v>75.205245901639358</c:v>
                </c:pt>
                <c:pt idx="271">
                  <c:v>75.205245901639358</c:v>
                </c:pt>
                <c:pt idx="272">
                  <c:v>70.577230769230781</c:v>
                </c:pt>
                <c:pt idx="273">
                  <c:v>81.92</c:v>
                </c:pt>
                <c:pt idx="274">
                  <c:v>75.205245901639358</c:v>
                </c:pt>
                <c:pt idx="275">
                  <c:v>76.458666666666673</c:v>
                </c:pt>
                <c:pt idx="276">
                  <c:v>71.680000000000007</c:v>
                </c:pt>
                <c:pt idx="277">
                  <c:v>71.680000000000007</c:v>
                </c:pt>
                <c:pt idx="278">
                  <c:v>67.463529411764711</c:v>
                </c:pt>
                <c:pt idx="279">
                  <c:v>77.754576271186451</c:v>
                </c:pt>
                <c:pt idx="280">
                  <c:v>71.680000000000007</c:v>
                </c:pt>
                <c:pt idx="281">
                  <c:v>72.817777777777778</c:v>
                </c:pt>
                <c:pt idx="282">
                  <c:v>71.680000000000007</c:v>
                </c:pt>
                <c:pt idx="283">
                  <c:v>71.680000000000007</c:v>
                </c:pt>
                <c:pt idx="284">
                  <c:v>67.463529411764711</c:v>
                </c:pt>
                <c:pt idx="285">
                  <c:v>77.754576271186451</c:v>
                </c:pt>
                <c:pt idx="286">
                  <c:v>71.680000000000007</c:v>
                </c:pt>
                <c:pt idx="287">
                  <c:v>72.817777777777778</c:v>
                </c:pt>
                <c:pt idx="288">
                  <c:v>67.463529411764711</c:v>
                </c:pt>
                <c:pt idx="289">
                  <c:v>67.463529411764711</c:v>
                </c:pt>
                <c:pt idx="290">
                  <c:v>63.715555555555561</c:v>
                </c:pt>
                <c:pt idx="291">
                  <c:v>72.817777777777778</c:v>
                </c:pt>
                <c:pt idx="292">
                  <c:v>67.463529411764711</c:v>
                </c:pt>
                <c:pt idx="293">
                  <c:v>68.470447761194038</c:v>
                </c:pt>
                <c:pt idx="294">
                  <c:v>64.612957746478884</c:v>
                </c:pt>
                <c:pt idx="295">
                  <c:v>64.612957746478884</c:v>
                </c:pt>
                <c:pt idx="296">
                  <c:v>61.16693333333334</c:v>
                </c:pt>
                <c:pt idx="297">
                  <c:v>69.507878787878795</c:v>
                </c:pt>
                <c:pt idx="298">
                  <c:v>64.612957746478884</c:v>
                </c:pt>
                <c:pt idx="299">
                  <c:v>65.536000000000001</c:v>
                </c:pt>
                <c:pt idx="300">
                  <c:v>59.733333333333341</c:v>
                </c:pt>
                <c:pt idx="301">
                  <c:v>59.733333333333341</c:v>
                </c:pt>
                <c:pt idx="302">
                  <c:v>56.000000000000007</c:v>
                </c:pt>
                <c:pt idx="303">
                  <c:v>65.163636363636371</c:v>
                </c:pt>
                <c:pt idx="304">
                  <c:v>59.733333333333341</c:v>
                </c:pt>
                <c:pt idx="305">
                  <c:v>60.745762711864408</c:v>
                </c:pt>
                <c:pt idx="306">
                  <c:v>56.636049382716052</c:v>
                </c:pt>
                <c:pt idx="307">
                  <c:v>58.814358974358981</c:v>
                </c:pt>
                <c:pt idx="308">
                  <c:v>56.636049382716052</c:v>
                </c:pt>
                <c:pt idx="309">
                  <c:v>58.814358974358981</c:v>
                </c:pt>
                <c:pt idx="310">
                  <c:v>56.636049382716052</c:v>
                </c:pt>
                <c:pt idx="311">
                  <c:v>58.814358974358981</c:v>
                </c:pt>
                <c:pt idx="312">
                  <c:v>56.636049382716052</c:v>
                </c:pt>
                <c:pt idx="313">
                  <c:v>58.814358974358981</c:v>
                </c:pt>
                <c:pt idx="314">
                  <c:v>56.636049382716052</c:v>
                </c:pt>
                <c:pt idx="315">
                  <c:v>58.814358974358981</c:v>
                </c:pt>
                <c:pt idx="316">
                  <c:v>22.245517241379314</c:v>
                </c:pt>
                <c:pt idx="317">
                  <c:v>23.458909090909092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8-4701-AB07-969CAC31A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308512"/>
        <c:axId val="1759325312"/>
      </c:scatterChart>
      <c:valAx>
        <c:axId val="175930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Sparsity</a:t>
                </a:r>
                <a:r>
                  <a:rPr lang="en-NZ" baseline="0"/>
                  <a:t> 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25312"/>
        <c:crosses val="autoZero"/>
        <c:crossBetween val="midCat"/>
      </c:valAx>
      <c:valAx>
        <c:axId val="17593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Effective Throughput (GOPS)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08512"/>
        <c:crosses val="autoZero"/>
        <c:crossBetween val="midCat"/>
      </c:valAx>
      <c:spPr>
        <a:noFill/>
        <a:ln>
          <a:solidFill>
            <a:srgbClr val="00B05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11</xdr:row>
      <xdr:rowOff>52387</xdr:rowOff>
    </xdr:from>
    <xdr:to>
      <xdr:col>15</xdr:col>
      <xdr:colOff>390525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03195-309F-5FB0-3AF7-D433EF10C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209821</xdr:colOff>
      <xdr:row>16</xdr:row>
      <xdr:rowOff>11137</xdr:rowOff>
    </xdr:from>
    <xdr:to>
      <xdr:col>12</xdr:col>
      <xdr:colOff>343092</xdr:colOff>
      <xdr:row>37</xdr:row>
      <xdr:rowOff>103852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83C34-1446-0AAC-4316-128164E18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749577</xdr:colOff>
      <xdr:row>13</xdr:row>
      <xdr:rowOff>47832</xdr:rowOff>
    </xdr:from>
    <xdr:to>
      <xdr:col>10</xdr:col>
      <xdr:colOff>60463</xdr:colOff>
      <xdr:row>27</xdr:row>
      <xdr:rowOff>124032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D5110-5EA8-8783-5A9F-5114977B8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436700</xdr:colOff>
      <xdr:row>14</xdr:row>
      <xdr:rowOff>10974</xdr:rowOff>
    </xdr:from>
    <xdr:to>
      <xdr:col>10</xdr:col>
      <xdr:colOff>459892</xdr:colOff>
      <xdr:row>28</xdr:row>
      <xdr:rowOff>87174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1751C-119A-4DE1-F642-E9418D59A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460131</xdr:colOff>
      <xdr:row>11</xdr:row>
      <xdr:rowOff>89021</xdr:rowOff>
    </xdr:from>
    <xdr:to>
      <xdr:col>16</xdr:col>
      <xdr:colOff>155331</xdr:colOff>
      <xdr:row>25</xdr:row>
      <xdr:rowOff>165221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23854-8B0E-9659-D7C7-630FDEE2C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108138</xdr:colOff>
      <xdr:row>7</xdr:row>
      <xdr:rowOff>26894</xdr:rowOff>
    </xdr:from>
    <xdr:to>
      <xdr:col>36</xdr:col>
      <xdr:colOff>412937</xdr:colOff>
      <xdr:row>21</xdr:row>
      <xdr:rowOff>103094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9B2FDA-C42D-4B96-9658-C913D4B89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103654</xdr:colOff>
      <xdr:row>24</xdr:row>
      <xdr:rowOff>172490</xdr:rowOff>
    </xdr:from>
    <xdr:to>
      <xdr:col>39</xdr:col>
      <xdr:colOff>68914</xdr:colOff>
      <xdr:row>39</xdr:row>
      <xdr:rowOff>58190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B13FF5-717D-B71A-CBA1-21F599B28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426370</xdr:colOff>
      <xdr:row>44</xdr:row>
      <xdr:rowOff>109977</xdr:rowOff>
    </xdr:from>
    <xdr:to>
      <xdr:col>37</xdr:col>
      <xdr:colOff>100815</xdr:colOff>
      <xdr:row>58</xdr:row>
      <xdr:rowOff>186177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830DB-00E5-6D92-3ACB-83868CD8D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EM" refreshedDate="46113.861342592594" createdVersion="8" refreshedVersion="8" minRefreshableVersion="3" recordCount="318" xr:uid="{8D230801-C705-4C04-9A3E-00D7D66DC704}">
  <cacheSource type="worksheet">
    <worksheetSource name="Table1"/>
  </cacheSource>
  <cacheFields count="28">
    <cacheField name="model" numFmtId="0">
      <sharedItems/>
    </cacheField>
    <cacheField name="layer" numFmtId="0">
      <sharedItems/>
    </cacheField>
    <cacheField name="layer_idx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tile" numFmtId="0">
      <sharedItems containsSemiMixedTypes="0" containsString="0" containsNumber="1" containsInteger="1" minValue="1" maxValue="138"/>
    </cacheField>
    <cacheField name="orig_m" numFmtId="0">
      <sharedItems containsSemiMixedTypes="0" containsString="0" containsNumber="1" containsInteger="1" minValue="9" maxValue="32"/>
    </cacheField>
    <cacheField name="orig_n" numFmtId="0">
      <sharedItems containsSemiMixedTypes="0" containsString="0" containsNumber="1" containsInteger="1" minValue="32" maxValue="32"/>
    </cacheField>
    <cacheField name="orig_k" numFmtId="0">
      <sharedItems containsSemiMixedTypes="0" containsString="0" containsNumber="1" containsInteger="1" minValue="32" maxValue="32"/>
    </cacheField>
    <cacheField name="m" numFmtId="0">
      <sharedItems containsSemiMixedTypes="0" containsString="0" containsNumber="1" containsInteger="1" minValue="9" maxValue="32"/>
    </cacheField>
    <cacheField name="n" numFmtId="0">
      <sharedItems containsSemiMixedTypes="0" containsString="0" containsNumber="1" containsInteger="1" minValue="12" maxValue="23"/>
    </cacheField>
    <cacheField name="k" numFmtId="0">
      <sharedItems containsSemiMixedTypes="0" containsString="0" containsNumber="1" containsInteger="1" minValue="3" maxValue="32"/>
    </cacheField>
    <cacheField name="config" numFmtId="0">
      <sharedItems containsSemiMixedTypes="0" containsString="0" containsNumber="1" containsInteger="1" minValue="0" maxValue="1" count="2">
        <n v="0"/>
        <n v="1"/>
      </sharedItems>
    </cacheField>
    <cacheField name="sa_size" numFmtId="0">
      <sharedItems containsSemiMixedTypes="0" containsString="0" containsNumber="1" containsInteger="1" minValue="16" maxValue="32"/>
    </cacheField>
    <cacheField name="sparsity" numFmtId="0">
      <sharedItems containsSemiMixedTypes="0" containsString="0" containsNumber="1" minValue="0.15620000000000001" maxValue="0.94969999999999999"/>
    </cacheField>
    <cacheField name="orig_macs" numFmtId="0">
      <sharedItems containsSemiMixedTypes="0" containsString="0" containsNumber="1" containsInteger="1" minValue="18432" maxValue="65536"/>
    </cacheField>
    <cacheField name="eff_macs" numFmtId="0">
      <sharedItems containsSemiMixedTypes="0" containsString="0" containsNumber="1" containsInteger="1" minValue="702" maxValue="45056"/>
    </cacheField>
    <cacheField name="mac_reduction" numFmtId="0">
      <sharedItems containsSemiMixedTypes="0" containsString="0" containsNumber="1" minValue="0.3125" maxValue="0.97619999999999996"/>
    </cacheField>
    <cacheField name="cycles" numFmtId="0">
      <sharedItems containsSemiMixedTypes="0" containsString="0" containsNumber="1" containsInteger="1" minValue="23" maxValue="84"/>
    </cacheField>
    <cacheField name="cpu_us" numFmtId="0">
      <sharedItems containsSemiMixedTypes="0" containsString="0" containsNumber="1" minValue="14.5" maxValue="339.7"/>
    </cacheField>
    <cacheField name="match" numFmtId="0">
      <sharedItems/>
    </cacheField>
    <cacheField name="npu_us" numFmtId="0">
      <sharedItems containsSemiMixedTypes="0" containsString="0" containsNumber="1" minValue="0.32857142900000003" maxValue="1.2"/>
    </cacheField>
    <cacheField name="Tile idx" numFmtId="0">
      <sharedItems containsSemiMixedTypes="0" containsString="0" containsNumber="1" containsInteger="1" minValue="0" maxValue="317"/>
    </cacheField>
    <cacheField name="Dense Baseline" numFmtId="0">
      <sharedItems containsSemiMixedTypes="0" containsString="0" containsNumber="1" containsInteger="1" minValue="71" maxValue="94"/>
    </cacheField>
    <cacheField name="Gap" numFmtId="0">
      <sharedItems containsSemiMixedTypes="0" containsString="0" containsNumber="1" containsInteger="1" minValue="10" maxValue="67"/>
    </cacheField>
    <cacheField name="HW Throughput (GOPS)" numFmtId="0">
      <sharedItems containsSemiMixedTypes="0" containsString="0" containsNumber="1" minValue="2.1365217391304347" maxValue="37.546666666666674"/>
    </cacheField>
    <cacheField name="Dense-Equivalent Throughput (GOPS)" numFmtId="0">
      <sharedItems containsSemiMixedTypes="0" containsString="0" containsNumber="1" minValue="22.245517241379314" maxValue="169.90814814814814"/>
    </cacheField>
    <cacheField name="Average of Area Efficiency Score" numFmtId="0">
      <sharedItems containsSemiMixedTypes="0" containsString="0" containsNumber="1" minValue="0.15364942389802055" maxValue="22.303511177231314"/>
    </cacheField>
    <cacheField name="Power_Efficiency_Score" numFmtId="0">
      <sharedItems containsSemiMixedTypes="0" containsString="0" containsNumber="1" minValue="801.68255685562178" maxValue="34064.683961925824"/>
    </cacheField>
    <cacheField name="Energy_mJ" numFmtId="0">
      <sharedItems containsSemiMixedTypes="0" containsString="0" containsNumber="1" minValue="0.72614285714285709" maxValue="3.431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s v="alexnet"/>
    <s v="__module.features.10/aten::_convolution/Convolution"/>
    <x v="0"/>
    <n v="1"/>
    <n v="32"/>
    <n v="32"/>
    <n v="32"/>
    <n v="32"/>
    <n v="19"/>
    <n v="18"/>
    <x v="0"/>
    <n v="32"/>
    <n v="0.55179999999999996"/>
    <n v="65536"/>
    <n v="21888"/>
    <n v="0.66600000000000004"/>
    <n v="67"/>
    <n v="41.1"/>
    <b v="1"/>
    <n v="0.95714285700000001"/>
    <n v="0"/>
    <n v="94"/>
    <n v="27"/>
    <n v="22.868059701492541"/>
    <n v="68.470447761194038"/>
    <n v="0.47292426327483605"/>
    <n v="2467.5337073367064"/>
    <n v="2.7374285714285715"/>
  </r>
  <r>
    <s v="alexnet"/>
    <s v="__module.features.10/aten::_convolution/Convolution"/>
    <x v="0"/>
    <n v="2"/>
    <n v="32"/>
    <n v="32"/>
    <n v="32"/>
    <n v="32"/>
    <n v="17"/>
    <n v="18"/>
    <x v="0"/>
    <n v="32"/>
    <n v="0.56930000000000003"/>
    <n v="65536"/>
    <n v="19584"/>
    <n v="0.70120000000000005"/>
    <n v="65"/>
    <n v="105.9"/>
    <b v="1"/>
    <n v="0.928571429"/>
    <n v="1"/>
    <n v="94"/>
    <n v="29"/>
    <n v="21.09046153846154"/>
    <n v="70.577230769230781"/>
    <n v="0.48747577906790795"/>
    <n v="2543.457821408605"/>
    <n v="2.6557142857142857"/>
  </r>
  <r>
    <s v="alexnet"/>
    <s v="__module.features.10/aten::_convolution/Convolution"/>
    <x v="0"/>
    <n v="3"/>
    <n v="32"/>
    <n v="32"/>
    <n v="32"/>
    <n v="32"/>
    <n v="12"/>
    <n v="18"/>
    <x v="0"/>
    <n v="32"/>
    <n v="0.61329999999999996"/>
    <n v="65536"/>
    <n v="13824"/>
    <n v="0.78910000000000002"/>
    <n v="60"/>
    <n v="83.8"/>
    <b v="1"/>
    <n v="0.85714285700000004"/>
    <n v="2"/>
    <n v="94"/>
    <n v="34"/>
    <n v="16.128000000000004"/>
    <n v="76.458666666666673"/>
    <n v="0.52809876065690031"/>
    <n v="2755.4126398593216"/>
    <n v="2.4514285714285711"/>
  </r>
  <r>
    <s v="alexnet"/>
    <s v="__module.features.10/aten::_convolution/Convolution"/>
    <x v="0"/>
    <n v="4"/>
    <n v="32"/>
    <n v="32"/>
    <n v="32"/>
    <n v="32"/>
    <n v="17"/>
    <n v="18"/>
    <x v="0"/>
    <n v="32"/>
    <n v="0.56930000000000003"/>
    <n v="65536"/>
    <n v="19584"/>
    <n v="0.70120000000000005"/>
    <n v="65"/>
    <n v="39.799999999999997"/>
    <b v="1"/>
    <n v="0.928571429"/>
    <n v="3"/>
    <n v="94"/>
    <n v="29"/>
    <n v="21.09046153846154"/>
    <n v="70.577230769230781"/>
    <n v="0.48747577906790795"/>
    <n v="2543.457821408605"/>
    <n v="2.6557142857142857"/>
  </r>
  <r>
    <s v="alexnet"/>
    <s v="__module.features.10/aten::_convolution/Convolution"/>
    <x v="0"/>
    <n v="5"/>
    <n v="32"/>
    <n v="32"/>
    <n v="32"/>
    <n v="32"/>
    <n v="21"/>
    <n v="18"/>
    <x v="0"/>
    <n v="32"/>
    <n v="0.53420000000000001"/>
    <n v="65536"/>
    <n v="24192"/>
    <n v="0.63090000000000002"/>
    <n v="69"/>
    <n v="63.1"/>
    <b v="1"/>
    <n v="0.985714286"/>
    <n v="4"/>
    <n v="94"/>
    <n v="25"/>
    <n v="24.542608695652177"/>
    <n v="66.485797101449279"/>
    <n v="0.45921631361469584"/>
    <n v="2396.0109911820191"/>
    <n v="2.8191428571428574"/>
  </r>
  <r>
    <s v="alexnet"/>
    <s v="__module.features.10/aten::_convolution/Convolution"/>
    <x v="0"/>
    <n v="6"/>
    <n v="32"/>
    <n v="32"/>
    <n v="32"/>
    <n v="32"/>
    <n v="20"/>
    <n v="18"/>
    <x v="0"/>
    <n v="32"/>
    <n v="0.54300000000000004"/>
    <n v="65536"/>
    <n v="23040"/>
    <n v="0.64839999999999998"/>
    <n v="68"/>
    <n v="38.299999999999997"/>
    <b v="1"/>
    <n v="0.97142857100000002"/>
    <n v="5"/>
    <n v="94"/>
    <n v="26"/>
    <n v="23.71764705882353"/>
    <n v="67.463529411764711"/>
    <n v="0.4659694946972649"/>
    <n v="2431.246446934696"/>
    <n v="2.778285714285714"/>
  </r>
  <r>
    <s v="alexnet"/>
    <s v="__module.features.10/aten::_convolution/Convolution"/>
    <x v="0"/>
    <n v="7"/>
    <n v="32"/>
    <n v="32"/>
    <n v="32"/>
    <n v="32"/>
    <n v="21"/>
    <n v="18"/>
    <x v="0"/>
    <n v="32"/>
    <n v="0.53420000000000001"/>
    <n v="65536"/>
    <n v="24192"/>
    <n v="0.63090000000000002"/>
    <n v="69"/>
    <n v="50"/>
    <b v="1"/>
    <n v="0.985714286"/>
    <n v="6"/>
    <n v="94"/>
    <n v="25"/>
    <n v="24.542608695652177"/>
    <n v="66.485797101449279"/>
    <n v="0.45921631361469584"/>
    <n v="2396.0109911820191"/>
    <n v="2.8191428571428574"/>
  </r>
  <r>
    <s v="alexnet"/>
    <s v="__module.features.10/aten::_convolution/Convolution"/>
    <x v="0"/>
    <n v="8"/>
    <n v="32"/>
    <n v="32"/>
    <n v="32"/>
    <n v="32"/>
    <n v="14"/>
    <n v="18"/>
    <x v="0"/>
    <n v="32"/>
    <n v="0.59570000000000001"/>
    <n v="65536"/>
    <n v="16128"/>
    <n v="0.75390000000000001"/>
    <n v="62"/>
    <n v="40.700000000000003"/>
    <b v="1"/>
    <n v="0.88571428600000002"/>
    <n v="7"/>
    <n v="94"/>
    <n v="32"/>
    <n v="18.209032258064518"/>
    <n v="73.992258064516136"/>
    <n v="0.51106331676474215"/>
    <n v="2666.5283611541827"/>
    <n v="2.5331428571428569"/>
  </r>
  <r>
    <s v="alexnet"/>
    <s v="__module.features.10/aten::_convolution/Convolution"/>
    <x v="0"/>
    <n v="9"/>
    <n v="32"/>
    <n v="32"/>
    <n v="32"/>
    <n v="32"/>
    <n v="19"/>
    <n v="18"/>
    <x v="0"/>
    <n v="32"/>
    <n v="0.55179999999999996"/>
    <n v="65536"/>
    <n v="21888"/>
    <n v="0.66600000000000004"/>
    <n v="67"/>
    <n v="53.6"/>
    <b v="1"/>
    <n v="0.95714285700000001"/>
    <n v="8"/>
    <n v="94"/>
    <n v="27"/>
    <n v="22.868059701492541"/>
    <n v="68.470447761194038"/>
    <n v="0.47292426327483605"/>
    <n v="2467.5337073367064"/>
    <n v="2.7374285714285715"/>
  </r>
  <r>
    <s v="alexnet"/>
    <s v="__module.features.10/aten::_convolution/Convolution"/>
    <x v="0"/>
    <n v="10"/>
    <n v="32"/>
    <n v="32"/>
    <n v="32"/>
    <n v="32"/>
    <n v="17"/>
    <n v="18"/>
    <x v="0"/>
    <n v="32"/>
    <n v="0.56930000000000003"/>
    <n v="65536"/>
    <n v="19584"/>
    <n v="0.70120000000000005"/>
    <n v="65"/>
    <n v="87.7"/>
    <b v="1"/>
    <n v="0.928571429"/>
    <n v="9"/>
    <n v="94"/>
    <n v="29"/>
    <n v="21.09046153846154"/>
    <n v="70.577230769230781"/>
    <n v="0.48747577906790795"/>
    <n v="2543.457821408605"/>
    <n v="2.6557142857142857"/>
  </r>
  <r>
    <s v="alexnet"/>
    <s v="__module.features.10/aten::_convolution/Convolution"/>
    <x v="0"/>
    <n v="11"/>
    <n v="32"/>
    <n v="32"/>
    <n v="32"/>
    <n v="32"/>
    <n v="12"/>
    <n v="18"/>
    <x v="0"/>
    <n v="32"/>
    <n v="0.61329999999999996"/>
    <n v="65536"/>
    <n v="13824"/>
    <n v="0.78910000000000002"/>
    <n v="60"/>
    <n v="39.4"/>
    <b v="1"/>
    <n v="0.85714285700000004"/>
    <n v="10"/>
    <n v="94"/>
    <n v="34"/>
    <n v="16.128000000000004"/>
    <n v="76.458666666666673"/>
    <n v="0.52809876065690031"/>
    <n v="2755.4126398593216"/>
    <n v="2.4514285714285711"/>
  </r>
  <r>
    <s v="alexnet"/>
    <s v="__module.features.10/aten::_convolution/Convolution"/>
    <x v="0"/>
    <n v="12"/>
    <n v="32"/>
    <n v="32"/>
    <n v="32"/>
    <n v="32"/>
    <n v="17"/>
    <n v="18"/>
    <x v="0"/>
    <n v="32"/>
    <n v="0.56930000000000003"/>
    <n v="65536"/>
    <n v="19584"/>
    <n v="0.70120000000000005"/>
    <n v="65"/>
    <n v="39"/>
    <b v="1"/>
    <n v="0.928571429"/>
    <n v="11"/>
    <n v="94"/>
    <n v="29"/>
    <n v="21.09046153846154"/>
    <n v="70.577230769230781"/>
    <n v="0.48747577906790795"/>
    <n v="2543.457821408605"/>
    <n v="2.6557142857142857"/>
  </r>
  <r>
    <s v="alexnet"/>
    <s v="__module.features.10/aten::_convolution/Convolution"/>
    <x v="0"/>
    <n v="13"/>
    <n v="32"/>
    <n v="32"/>
    <n v="32"/>
    <n v="32"/>
    <n v="21"/>
    <n v="18"/>
    <x v="0"/>
    <n v="32"/>
    <n v="0.53420000000000001"/>
    <n v="65536"/>
    <n v="24192"/>
    <n v="0.63090000000000002"/>
    <n v="69"/>
    <n v="50.9"/>
    <b v="1"/>
    <n v="0.985714286"/>
    <n v="12"/>
    <n v="94"/>
    <n v="25"/>
    <n v="24.542608695652177"/>
    <n v="66.485797101449279"/>
    <n v="0.45921631361469584"/>
    <n v="2396.0109911820191"/>
    <n v="2.8191428571428574"/>
  </r>
  <r>
    <s v="alexnet"/>
    <s v="__module.features.10/aten::_convolution/Convolution"/>
    <x v="0"/>
    <n v="14"/>
    <n v="32"/>
    <n v="32"/>
    <n v="32"/>
    <n v="32"/>
    <n v="20"/>
    <n v="18"/>
    <x v="0"/>
    <n v="32"/>
    <n v="0.54300000000000004"/>
    <n v="65536"/>
    <n v="23040"/>
    <n v="0.64839999999999998"/>
    <n v="68"/>
    <n v="69.7"/>
    <b v="1"/>
    <n v="0.97142857100000002"/>
    <n v="13"/>
    <n v="94"/>
    <n v="26"/>
    <n v="23.71764705882353"/>
    <n v="67.463529411764711"/>
    <n v="0.4659694946972649"/>
    <n v="2431.246446934696"/>
    <n v="2.778285714285714"/>
  </r>
  <r>
    <s v="alexnet"/>
    <s v="__module.features.10/aten::_convolution/Convolution"/>
    <x v="0"/>
    <n v="15"/>
    <n v="32"/>
    <n v="32"/>
    <n v="32"/>
    <n v="32"/>
    <n v="21"/>
    <n v="18"/>
    <x v="0"/>
    <n v="32"/>
    <n v="0.53420000000000001"/>
    <n v="65536"/>
    <n v="24192"/>
    <n v="0.63090000000000002"/>
    <n v="69"/>
    <n v="39.6"/>
    <b v="1"/>
    <n v="0.985714286"/>
    <n v="14"/>
    <n v="94"/>
    <n v="25"/>
    <n v="24.542608695652177"/>
    <n v="66.485797101449279"/>
    <n v="0.45921631361469584"/>
    <n v="2396.0109911820191"/>
    <n v="2.8191428571428574"/>
  </r>
  <r>
    <s v="alexnet"/>
    <s v="__module.features.10/aten::_convolution/Convolution"/>
    <x v="0"/>
    <n v="16"/>
    <n v="32"/>
    <n v="32"/>
    <n v="32"/>
    <n v="32"/>
    <n v="14"/>
    <n v="18"/>
    <x v="0"/>
    <n v="32"/>
    <n v="0.59570000000000001"/>
    <n v="65536"/>
    <n v="16128"/>
    <n v="0.75390000000000001"/>
    <n v="62"/>
    <n v="42.7"/>
    <b v="1"/>
    <n v="0.88571428600000002"/>
    <n v="15"/>
    <n v="94"/>
    <n v="32"/>
    <n v="18.209032258064518"/>
    <n v="73.992258064516136"/>
    <n v="0.51106331676474215"/>
    <n v="2666.5283611541827"/>
    <n v="2.5331428571428569"/>
  </r>
  <r>
    <s v="alexnet"/>
    <s v="__module.features.10/aten::_convolution/Convolution"/>
    <x v="0"/>
    <n v="17"/>
    <n v="32"/>
    <n v="32"/>
    <n v="32"/>
    <n v="32"/>
    <n v="19"/>
    <n v="18"/>
    <x v="0"/>
    <n v="32"/>
    <n v="0.55179999999999996"/>
    <n v="65536"/>
    <n v="21888"/>
    <n v="0.66600000000000004"/>
    <n v="67"/>
    <n v="176.4"/>
    <b v="1"/>
    <n v="0.95714285700000001"/>
    <n v="16"/>
    <n v="94"/>
    <n v="27"/>
    <n v="22.868059701492541"/>
    <n v="68.470447761194038"/>
    <n v="0.47292426327483605"/>
    <n v="2467.5337073367064"/>
    <n v="2.7374285714285715"/>
  </r>
  <r>
    <s v="alexnet"/>
    <s v="__module.features.10/aten::_convolution/Convolution"/>
    <x v="0"/>
    <n v="18"/>
    <n v="32"/>
    <n v="32"/>
    <n v="32"/>
    <n v="32"/>
    <n v="17"/>
    <n v="18"/>
    <x v="0"/>
    <n v="32"/>
    <n v="0.56930000000000003"/>
    <n v="65536"/>
    <n v="19584"/>
    <n v="0.70120000000000005"/>
    <n v="65"/>
    <n v="56"/>
    <b v="1"/>
    <n v="0.928571429"/>
    <n v="17"/>
    <n v="94"/>
    <n v="29"/>
    <n v="21.09046153846154"/>
    <n v="70.577230769230781"/>
    <n v="0.48747577906790795"/>
    <n v="2543.457821408605"/>
    <n v="2.6557142857142857"/>
  </r>
  <r>
    <s v="alexnet"/>
    <s v="__module.features.10/aten::_convolution/Convolution"/>
    <x v="0"/>
    <n v="19"/>
    <n v="32"/>
    <n v="32"/>
    <n v="32"/>
    <n v="32"/>
    <n v="12"/>
    <n v="18"/>
    <x v="0"/>
    <n v="32"/>
    <n v="0.61329999999999996"/>
    <n v="65536"/>
    <n v="13824"/>
    <n v="0.78910000000000002"/>
    <n v="60"/>
    <n v="94.5"/>
    <b v="1"/>
    <n v="0.85714285700000004"/>
    <n v="18"/>
    <n v="94"/>
    <n v="34"/>
    <n v="16.128000000000004"/>
    <n v="76.458666666666673"/>
    <n v="0.52809876065690031"/>
    <n v="2755.4126398593216"/>
    <n v="2.4514285714285711"/>
  </r>
  <r>
    <s v="alexnet"/>
    <s v="__module.features.10/aten::_convolution/Convolution"/>
    <x v="0"/>
    <n v="20"/>
    <n v="32"/>
    <n v="32"/>
    <n v="32"/>
    <n v="32"/>
    <n v="17"/>
    <n v="18"/>
    <x v="0"/>
    <n v="32"/>
    <n v="0.56930000000000003"/>
    <n v="65536"/>
    <n v="19584"/>
    <n v="0.70120000000000005"/>
    <n v="65"/>
    <n v="38"/>
    <b v="1"/>
    <n v="0.928571429"/>
    <n v="19"/>
    <n v="94"/>
    <n v="29"/>
    <n v="21.09046153846154"/>
    <n v="70.577230769230781"/>
    <n v="0.48747577906790795"/>
    <n v="2543.457821408605"/>
    <n v="2.6557142857142857"/>
  </r>
  <r>
    <s v="alexnet"/>
    <s v="__module.features.10/aten::_convolution/Convolution"/>
    <x v="0"/>
    <n v="21"/>
    <n v="32"/>
    <n v="32"/>
    <n v="32"/>
    <n v="32"/>
    <n v="21"/>
    <n v="18"/>
    <x v="0"/>
    <n v="32"/>
    <n v="0.53420000000000001"/>
    <n v="65536"/>
    <n v="24192"/>
    <n v="0.63090000000000002"/>
    <n v="69"/>
    <n v="112.8"/>
    <b v="1"/>
    <n v="0.985714286"/>
    <n v="20"/>
    <n v="94"/>
    <n v="25"/>
    <n v="24.542608695652177"/>
    <n v="66.485797101449279"/>
    <n v="0.45921631361469584"/>
    <n v="2396.0109911820191"/>
    <n v="2.8191428571428574"/>
  </r>
  <r>
    <s v="alexnet"/>
    <s v="__module.features.10/aten::_convolution/Convolution"/>
    <x v="0"/>
    <n v="22"/>
    <n v="32"/>
    <n v="32"/>
    <n v="32"/>
    <n v="32"/>
    <n v="20"/>
    <n v="18"/>
    <x v="0"/>
    <n v="32"/>
    <n v="0.54300000000000004"/>
    <n v="65536"/>
    <n v="23040"/>
    <n v="0.64839999999999998"/>
    <n v="68"/>
    <n v="40"/>
    <b v="1"/>
    <n v="0.97142857100000002"/>
    <n v="21"/>
    <n v="94"/>
    <n v="26"/>
    <n v="23.71764705882353"/>
    <n v="67.463529411764711"/>
    <n v="0.4659694946972649"/>
    <n v="2431.246446934696"/>
    <n v="2.778285714285714"/>
  </r>
  <r>
    <s v="alexnet"/>
    <s v="__module.features.10/aten::_convolution/Convolution"/>
    <x v="0"/>
    <n v="23"/>
    <n v="32"/>
    <n v="32"/>
    <n v="32"/>
    <n v="32"/>
    <n v="21"/>
    <n v="18"/>
    <x v="0"/>
    <n v="32"/>
    <n v="0.53420000000000001"/>
    <n v="65536"/>
    <n v="24192"/>
    <n v="0.63090000000000002"/>
    <n v="69"/>
    <n v="42.4"/>
    <b v="1"/>
    <n v="0.985714286"/>
    <n v="22"/>
    <n v="94"/>
    <n v="25"/>
    <n v="24.542608695652177"/>
    <n v="66.485797101449279"/>
    <n v="0.45921631361469584"/>
    <n v="2396.0109911820191"/>
    <n v="2.8191428571428574"/>
  </r>
  <r>
    <s v="alexnet"/>
    <s v="__module.features.10/aten::_convolution/Convolution"/>
    <x v="0"/>
    <n v="24"/>
    <n v="32"/>
    <n v="32"/>
    <n v="32"/>
    <n v="32"/>
    <n v="14"/>
    <n v="18"/>
    <x v="0"/>
    <n v="32"/>
    <n v="0.59570000000000001"/>
    <n v="65536"/>
    <n v="16128"/>
    <n v="0.75390000000000001"/>
    <n v="62"/>
    <n v="163.69999999999999"/>
    <b v="1"/>
    <n v="0.88571428600000002"/>
    <n v="23"/>
    <n v="94"/>
    <n v="32"/>
    <n v="18.209032258064518"/>
    <n v="73.992258064516136"/>
    <n v="0.51106331676474215"/>
    <n v="2666.5283611541827"/>
    <n v="2.5331428571428569"/>
  </r>
  <r>
    <s v="alexnet"/>
    <s v="__module.features.10/aten::_convolution/Convolution"/>
    <x v="0"/>
    <n v="25"/>
    <n v="32"/>
    <n v="32"/>
    <n v="32"/>
    <n v="31"/>
    <n v="19"/>
    <n v="18"/>
    <x v="0"/>
    <n v="32"/>
    <n v="0.5605"/>
    <n v="65536"/>
    <n v="21204"/>
    <n v="0.67649999999999999"/>
    <n v="66"/>
    <n v="68.400000000000006"/>
    <b v="1"/>
    <n v="0.94285714300000001"/>
    <n v="24"/>
    <n v="94"/>
    <n v="28"/>
    <n v="22.489090909090908"/>
    <n v="69.507878787878795"/>
    <n v="0.48008978241536382"/>
    <n v="2504.9205816902927"/>
    <n v="2.6965714285714286"/>
  </r>
  <r>
    <s v="alexnet"/>
    <s v="__module.features.10/aten::_convolution/Convolution"/>
    <x v="0"/>
    <n v="26"/>
    <n v="32"/>
    <n v="32"/>
    <n v="32"/>
    <n v="31"/>
    <n v="17"/>
    <n v="18"/>
    <x v="0"/>
    <n v="32"/>
    <n v="0.57809999999999995"/>
    <n v="65536"/>
    <n v="18972"/>
    <n v="0.71050000000000002"/>
    <n v="64"/>
    <n v="179.5"/>
    <b v="1"/>
    <n v="0.91428571400000003"/>
    <n v="25"/>
    <n v="94"/>
    <n v="30"/>
    <n v="20.750625000000003"/>
    <n v="71.680000000000007"/>
    <n v="0.49509258811584395"/>
    <n v="2583.1993498681145"/>
    <n v="2.6148571428571428"/>
  </r>
  <r>
    <s v="alexnet"/>
    <s v="__module.features.10/aten::_convolution/Convolution"/>
    <x v="0"/>
    <n v="27"/>
    <n v="32"/>
    <n v="32"/>
    <n v="32"/>
    <n v="31"/>
    <n v="12"/>
    <n v="18"/>
    <x v="0"/>
    <n v="32"/>
    <n v="0.62209999999999999"/>
    <n v="65536"/>
    <n v="13392"/>
    <n v="0.79569999999999996"/>
    <n v="59"/>
    <n v="55.9"/>
    <b v="1"/>
    <n v="0.84285714300000003"/>
    <n v="26"/>
    <n v="94"/>
    <n v="35"/>
    <n v="15.888813559322037"/>
    <n v="77.754576271186451"/>
    <n v="0.5370495871087122"/>
    <n v="2802.11454900948"/>
    <n v="2.4105714285714286"/>
  </r>
  <r>
    <s v="alexnet"/>
    <s v="__module.features.10/aten::_convolution/Convolution"/>
    <x v="0"/>
    <n v="28"/>
    <n v="32"/>
    <n v="32"/>
    <n v="32"/>
    <n v="31"/>
    <n v="17"/>
    <n v="18"/>
    <x v="0"/>
    <n v="32"/>
    <n v="0.57809999999999995"/>
    <n v="65536"/>
    <n v="18972"/>
    <n v="0.71050000000000002"/>
    <n v="64"/>
    <n v="181"/>
    <b v="1"/>
    <n v="0.91428571400000003"/>
    <n v="27"/>
    <n v="94"/>
    <n v="30"/>
    <n v="20.750625000000003"/>
    <n v="71.680000000000007"/>
    <n v="0.49509258811584395"/>
    <n v="2583.1993498681145"/>
    <n v="2.6148571428571428"/>
  </r>
  <r>
    <s v="alexnet"/>
    <s v="__module.features.10/aten::_convolution/Convolution"/>
    <x v="0"/>
    <n v="29"/>
    <n v="32"/>
    <n v="32"/>
    <n v="32"/>
    <n v="31"/>
    <n v="21"/>
    <n v="18"/>
    <x v="0"/>
    <n v="32"/>
    <n v="0.54300000000000004"/>
    <n v="65536"/>
    <n v="23436"/>
    <n v="0.64239999999999997"/>
    <n v="68"/>
    <n v="39"/>
    <b v="1"/>
    <n v="0.97142857100000002"/>
    <n v="28"/>
    <n v="94"/>
    <n v="26"/>
    <n v="24.125294117647059"/>
    <n v="67.463529411764711"/>
    <n v="0.4659694946972649"/>
    <n v="2431.246446934696"/>
    <n v="2.778285714285714"/>
  </r>
  <r>
    <s v="alexnet"/>
    <s v="__module.features.10/aten::_convolution/Convolution"/>
    <x v="0"/>
    <n v="30"/>
    <n v="32"/>
    <n v="32"/>
    <n v="32"/>
    <n v="31"/>
    <n v="20"/>
    <n v="18"/>
    <x v="0"/>
    <n v="32"/>
    <n v="0.55179999999999996"/>
    <n v="65536"/>
    <n v="22320"/>
    <n v="0.65939999999999999"/>
    <n v="67"/>
    <n v="39.9"/>
    <b v="1"/>
    <n v="0.95714285700000001"/>
    <n v="29"/>
    <n v="94"/>
    <n v="27"/>
    <n v="23.319402985074628"/>
    <n v="68.470447761194038"/>
    <n v="0.47292426327483605"/>
    <n v="2467.5337073367064"/>
    <n v="2.7374285714285715"/>
  </r>
  <r>
    <s v="alexnet"/>
    <s v="__module.features.10/aten::_convolution/Convolution"/>
    <x v="0"/>
    <n v="31"/>
    <n v="32"/>
    <n v="32"/>
    <n v="32"/>
    <n v="31"/>
    <n v="21"/>
    <n v="18"/>
    <x v="0"/>
    <n v="32"/>
    <n v="0.54300000000000004"/>
    <n v="65536"/>
    <n v="23436"/>
    <n v="0.64239999999999997"/>
    <n v="68"/>
    <n v="58.8"/>
    <b v="1"/>
    <n v="0.97142857100000002"/>
    <n v="30"/>
    <n v="94"/>
    <n v="26"/>
    <n v="24.125294117647059"/>
    <n v="67.463529411764711"/>
    <n v="0.4659694946972649"/>
    <n v="2431.246446934696"/>
    <n v="2.778285714285714"/>
  </r>
  <r>
    <s v="alexnet"/>
    <s v="__module.features.10/aten::_convolution/Convolution"/>
    <x v="0"/>
    <n v="32"/>
    <n v="32"/>
    <n v="32"/>
    <n v="32"/>
    <n v="31"/>
    <n v="14"/>
    <n v="18"/>
    <x v="0"/>
    <n v="32"/>
    <n v="0.60450000000000004"/>
    <n v="65536"/>
    <n v="15624"/>
    <n v="0.76160000000000005"/>
    <n v="61"/>
    <n v="39.700000000000003"/>
    <b v="1"/>
    <n v="0.87142857100000004"/>
    <n v="31"/>
    <n v="94"/>
    <n v="33"/>
    <n v="17.929180327868853"/>
    <n v="75.205245901639358"/>
    <n v="0.51944140392481997"/>
    <n v="2710.2419408452347"/>
    <n v="2.4922857142857144"/>
  </r>
  <r>
    <s v="alexnet"/>
    <s v="__module.features.10/aten::_convolution/Convolution"/>
    <x v="0"/>
    <n v="33"/>
    <n v="32"/>
    <n v="32"/>
    <n v="32"/>
    <n v="32"/>
    <n v="19"/>
    <n v="18"/>
    <x v="0"/>
    <n v="32"/>
    <n v="0.55179999999999996"/>
    <n v="65536"/>
    <n v="21888"/>
    <n v="0.66600000000000004"/>
    <n v="67"/>
    <n v="39.700000000000003"/>
    <b v="1"/>
    <n v="0.95714285700000001"/>
    <n v="32"/>
    <n v="94"/>
    <n v="27"/>
    <n v="22.868059701492541"/>
    <n v="68.470447761194038"/>
    <n v="0.47292426327483605"/>
    <n v="2467.5337073367064"/>
    <n v="2.7374285714285715"/>
  </r>
  <r>
    <s v="alexnet"/>
    <s v="__module.features.10/aten::_convolution/Convolution"/>
    <x v="0"/>
    <n v="34"/>
    <n v="32"/>
    <n v="32"/>
    <n v="32"/>
    <n v="32"/>
    <n v="17"/>
    <n v="18"/>
    <x v="0"/>
    <n v="32"/>
    <n v="0.56930000000000003"/>
    <n v="65536"/>
    <n v="19584"/>
    <n v="0.70120000000000005"/>
    <n v="65"/>
    <n v="40.5"/>
    <b v="1"/>
    <n v="0.928571429"/>
    <n v="33"/>
    <n v="94"/>
    <n v="29"/>
    <n v="21.09046153846154"/>
    <n v="70.577230769230781"/>
    <n v="0.48747577906790795"/>
    <n v="2543.457821408605"/>
    <n v="2.6557142857142857"/>
  </r>
  <r>
    <s v="alexnet"/>
    <s v="__module.features.10/aten::_convolution/Convolution"/>
    <x v="0"/>
    <n v="35"/>
    <n v="32"/>
    <n v="32"/>
    <n v="32"/>
    <n v="32"/>
    <n v="12"/>
    <n v="18"/>
    <x v="0"/>
    <n v="32"/>
    <n v="0.61329999999999996"/>
    <n v="65536"/>
    <n v="13824"/>
    <n v="0.78910000000000002"/>
    <n v="60"/>
    <n v="55.3"/>
    <b v="1"/>
    <n v="0.85714285700000004"/>
    <n v="34"/>
    <n v="94"/>
    <n v="34"/>
    <n v="16.128000000000004"/>
    <n v="76.458666666666673"/>
    <n v="0.52809876065690031"/>
    <n v="2755.4126398593216"/>
    <n v="2.4514285714285711"/>
  </r>
  <r>
    <s v="alexnet"/>
    <s v="__module.features.10/aten::_convolution/Convolution"/>
    <x v="0"/>
    <n v="36"/>
    <n v="32"/>
    <n v="32"/>
    <n v="32"/>
    <n v="32"/>
    <n v="17"/>
    <n v="18"/>
    <x v="0"/>
    <n v="32"/>
    <n v="0.56930000000000003"/>
    <n v="65536"/>
    <n v="19584"/>
    <n v="0.70120000000000005"/>
    <n v="65"/>
    <n v="38.5"/>
    <b v="1"/>
    <n v="0.928571429"/>
    <n v="35"/>
    <n v="94"/>
    <n v="29"/>
    <n v="21.09046153846154"/>
    <n v="70.577230769230781"/>
    <n v="0.48747577906790795"/>
    <n v="2543.457821408605"/>
    <n v="2.6557142857142857"/>
  </r>
  <r>
    <s v="alexnet"/>
    <s v="__module.features.10/aten::_convolution/Convolution"/>
    <x v="0"/>
    <n v="37"/>
    <n v="32"/>
    <n v="32"/>
    <n v="32"/>
    <n v="32"/>
    <n v="21"/>
    <n v="18"/>
    <x v="0"/>
    <n v="32"/>
    <n v="0.53420000000000001"/>
    <n v="65536"/>
    <n v="24192"/>
    <n v="0.63090000000000002"/>
    <n v="69"/>
    <n v="40.200000000000003"/>
    <b v="1"/>
    <n v="0.985714286"/>
    <n v="36"/>
    <n v="94"/>
    <n v="25"/>
    <n v="24.542608695652177"/>
    <n v="66.485797101449279"/>
    <n v="0.45921631361469584"/>
    <n v="2396.0109911820191"/>
    <n v="2.8191428571428574"/>
  </r>
  <r>
    <s v="alexnet"/>
    <s v="__module.features.10/aten::_convolution/Convolution"/>
    <x v="0"/>
    <n v="38"/>
    <n v="32"/>
    <n v="32"/>
    <n v="32"/>
    <n v="32"/>
    <n v="20"/>
    <n v="18"/>
    <x v="0"/>
    <n v="32"/>
    <n v="0.54300000000000004"/>
    <n v="65536"/>
    <n v="23040"/>
    <n v="0.64839999999999998"/>
    <n v="68"/>
    <n v="39.9"/>
    <b v="1"/>
    <n v="0.97142857100000002"/>
    <n v="37"/>
    <n v="94"/>
    <n v="26"/>
    <n v="23.71764705882353"/>
    <n v="67.463529411764711"/>
    <n v="0.4659694946972649"/>
    <n v="2431.246446934696"/>
    <n v="2.778285714285714"/>
  </r>
  <r>
    <s v="alexnet"/>
    <s v="__module.features.10/aten::_convolution/Convolution"/>
    <x v="0"/>
    <n v="39"/>
    <n v="32"/>
    <n v="32"/>
    <n v="32"/>
    <n v="32"/>
    <n v="21"/>
    <n v="18"/>
    <x v="0"/>
    <n v="32"/>
    <n v="0.53420000000000001"/>
    <n v="65536"/>
    <n v="24192"/>
    <n v="0.63090000000000002"/>
    <n v="69"/>
    <n v="53.5"/>
    <b v="1"/>
    <n v="0.985714286"/>
    <n v="38"/>
    <n v="94"/>
    <n v="25"/>
    <n v="24.542608695652177"/>
    <n v="66.485797101449279"/>
    <n v="0.45921631361469584"/>
    <n v="2396.0109911820191"/>
    <n v="2.8191428571428574"/>
  </r>
  <r>
    <s v="alexnet"/>
    <s v="__module.features.10/aten::_convolution/Convolution"/>
    <x v="0"/>
    <n v="40"/>
    <n v="32"/>
    <n v="32"/>
    <n v="32"/>
    <n v="32"/>
    <n v="14"/>
    <n v="18"/>
    <x v="0"/>
    <n v="32"/>
    <n v="0.59570000000000001"/>
    <n v="65536"/>
    <n v="16128"/>
    <n v="0.75390000000000001"/>
    <n v="62"/>
    <n v="40.299999999999997"/>
    <b v="1"/>
    <n v="0.88571428600000002"/>
    <n v="39"/>
    <n v="94"/>
    <n v="32"/>
    <n v="18.209032258064518"/>
    <n v="73.992258064516136"/>
    <n v="0.51106331676474215"/>
    <n v="2666.5283611541827"/>
    <n v="2.5331428571428569"/>
  </r>
  <r>
    <s v="alexnet"/>
    <s v="__module.features.10/aten::_convolution/Convolution"/>
    <x v="0"/>
    <n v="41"/>
    <n v="9"/>
    <n v="32"/>
    <n v="32"/>
    <n v="9"/>
    <n v="19"/>
    <n v="12"/>
    <x v="0"/>
    <n v="32"/>
    <n v="0.74390000000000001"/>
    <n v="18432"/>
    <n v="4104"/>
    <n v="0.77729999999999999"/>
    <n v="38"/>
    <n v="16.7"/>
    <b v="1"/>
    <n v="0.54285714299999999"/>
    <n v="40"/>
    <n v="71"/>
    <n v="33"/>
    <n v="7.5600000000000005"/>
    <n v="33.953684210526319"/>
    <n v="0.23451754173908398"/>
    <n v="1223.6207446743699"/>
    <n v="1.5525714285714285"/>
  </r>
  <r>
    <s v="alexnet"/>
    <s v="__module.features.10/aten::_convolution/Convolution"/>
    <x v="0"/>
    <n v="42"/>
    <n v="9"/>
    <n v="32"/>
    <n v="32"/>
    <n v="9"/>
    <n v="17"/>
    <n v="12"/>
    <x v="0"/>
    <n v="32"/>
    <n v="0.76219999999999999"/>
    <n v="18432"/>
    <n v="3672"/>
    <n v="0.80079999999999996"/>
    <n v="36"/>
    <n v="14.5"/>
    <b v="1"/>
    <n v="0.514285714"/>
    <n v="41"/>
    <n v="71"/>
    <n v="35"/>
    <n v="7.1400000000000006"/>
    <n v="35.840000000000003"/>
    <n v="0.24754629405792197"/>
    <n v="1291.5996749340572"/>
    <n v="1.4708571428571426"/>
  </r>
  <r>
    <s v="alexnet"/>
    <s v="__module.features.10/aten::_convolution/Convolution"/>
    <x v="0"/>
    <n v="43"/>
    <n v="9"/>
    <n v="32"/>
    <n v="32"/>
    <n v="9"/>
    <n v="12"/>
    <n v="12"/>
    <x v="1"/>
    <n v="16"/>
    <n v="0.80789999999999995"/>
    <n v="18432"/>
    <n v="2592"/>
    <n v="0.85940000000000005"/>
    <n v="31"/>
    <n v="15.6"/>
    <b v="1"/>
    <n v="0.44285714300000001"/>
    <n v="42"/>
    <n v="71"/>
    <n v="40"/>
    <n v="5.8529032258064522"/>
    <n v="41.620645161290327"/>
    <n v="5.4634609032935577"/>
    <n v="8344.4739947056223"/>
    <n v="0.97871428571428565"/>
  </r>
  <r>
    <s v="alexnet"/>
    <s v="__module.features.10/aten::_convolution/Convolution"/>
    <x v="0"/>
    <n v="44"/>
    <n v="9"/>
    <n v="32"/>
    <n v="32"/>
    <n v="9"/>
    <n v="17"/>
    <n v="12"/>
    <x v="0"/>
    <n v="32"/>
    <n v="0.76219999999999999"/>
    <n v="18432"/>
    <n v="3672"/>
    <n v="0.80079999999999996"/>
    <n v="36"/>
    <n v="15.7"/>
    <b v="1"/>
    <n v="0.514285714"/>
    <n v="43"/>
    <n v="71"/>
    <n v="35"/>
    <n v="7.1400000000000006"/>
    <n v="35.840000000000003"/>
    <n v="0.24754629405792197"/>
    <n v="1291.5996749340572"/>
    <n v="1.4708571428571426"/>
  </r>
  <r>
    <s v="alexnet"/>
    <s v="__module.features.10/aten::_convolution/Convolution"/>
    <x v="0"/>
    <n v="45"/>
    <n v="9"/>
    <n v="32"/>
    <n v="32"/>
    <n v="9"/>
    <n v="21"/>
    <n v="12"/>
    <x v="0"/>
    <n v="32"/>
    <n v="0.72560000000000002"/>
    <n v="18432"/>
    <n v="4536"/>
    <n v="0.75390000000000001"/>
    <n v="40"/>
    <n v="70.3"/>
    <b v="1"/>
    <n v="0.571428571"/>
    <n v="44"/>
    <n v="71"/>
    <n v="31"/>
    <n v="7.9380000000000015"/>
    <n v="32.256000000000007"/>
    <n v="0.22279166465212982"/>
    <n v="1162.4397074406518"/>
    <n v="1.6342857142857141"/>
  </r>
  <r>
    <s v="alexnet"/>
    <s v="__module.features.10/aten::_convolution/Convolution"/>
    <x v="0"/>
    <n v="46"/>
    <n v="9"/>
    <n v="32"/>
    <n v="32"/>
    <n v="9"/>
    <n v="20"/>
    <n v="12"/>
    <x v="0"/>
    <n v="32"/>
    <n v="0.73480000000000001"/>
    <n v="18432"/>
    <n v="4320"/>
    <n v="0.76559999999999995"/>
    <n v="39"/>
    <n v="14.8"/>
    <b v="1"/>
    <n v="0.55714285699999999"/>
    <n v="45"/>
    <n v="71"/>
    <n v="32"/>
    <n v="7.7538461538461547"/>
    <n v="33.083076923076931"/>
    <n v="0.22850427143808186"/>
    <n v="1192.2458537852838"/>
    <n v="1.5934285714285716"/>
  </r>
  <r>
    <s v="alexnet"/>
    <s v="__module.features.10/aten::_convolution/Convolution"/>
    <x v="0"/>
    <n v="47"/>
    <n v="9"/>
    <n v="32"/>
    <n v="32"/>
    <n v="9"/>
    <n v="21"/>
    <n v="12"/>
    <x v="0"/>
    <n v="32"/>
    <n v="0.72560000000000002"/>
    <n v="18432"/>
    <n v="4536"/>
    <n v="0.75390000000000001"/>
    <n v="40"/>
    <n v="64.400000000000006"/>
    <b v="1"/>
    <n v="0.571428571"/>
    <n v="46"/>
    <n v="71"/>
    <n v="31"/>
    <n v="7.9380000000000015"/>
    <n v="32.256000000000007"/>
    <n v="0.22279166465212982"/>
    <n v="1162.4397074406518"/>
    <n v="1.6342857142857141"/>
  </r>
  <r>
    <s v="alexnet"/>
    <s v="__module.features.10/aten::_convolution/Convolution"/>
    <x v="0"/>
    <n v="48"/>
    <n v="9"/>
    <n v="32"/>
    <n v="32"/>
    <n v="9"/>
    <n v="14"/>
    <n v="12"/>
    <x v="1"/>
    <n v="16"/>
    <n v="0.78959999999999997"/>
    <n v="18432"/>
    <n v="3024"/>
    <n v="0.83589999999999998"/>
    <n v="33"/>
    <n v="28"/>
    <b v="1"/>
    <n v="0.47142857100000002"/>
    <n v="47"/>
    <n v="71"/>
    <n v="38"/>
    <n v="6.414545454545455"/>
    <n v="39.098181818181821"/>
    <n v="5.1323420606697061"/>
    <n v="7838.7482980567956"/>
    <n v="1.0418571428571428"/>
  </r>
  <r>
    <s v="alexnet"/>
    <s v="__module.features.8/aten::_convolution/Convolution"/>
    <x v="1"/>
    <n v="1"/>
    <n v="32"/>
    <n v="32"/>
    <n v="32"/>
    <n v="31"/>
    <n v="23"/>
    <n v="18"/>
    <x v="0"/>
    <n v="32"/>
    <n v="0.52539999999999998"/>
    <n v="65536"/>
    <n v="25668"/>
    <n v="0.60829999999999995"/>
    <n v="70"/>
    <n v="41.6"/>
    <b v="1"/>
    <n v="1"/>
    <n v="48"/>
    <n v="94"/>
    <n v="24"/>
    <n v="25.668000000000003"/>
    <n v="65.536000000000001"/>
    <n v="0.45265608056305734"/>
    <n v="2361.7822627365617"/>
    <n v="2.86"/>
  </r>
  <r>
    <s v="alexnet"/>
    <s v="__module.features.8/aten::_convolution/Convolution"/>
    <x v="1"/>
    <n v="2"/>
    <n v="32"/>
    <n v="32"/>
    <n v="32"/>
    <n v="31"/>
    <n v="19"/>
    <n v="18"/>
    <x v="0"/>
    <n v="32"/>
    <n v="0.5605"/>
    <n v="65536"/>
    <n v="21204"/>
    <n v="0.67649999999999999"/>
    <n v="66"/>
    <n v="41"/>
    <b v="1"/>
    <n v="0.94285714300000001"/>
    <n v="49"/>
    <n v="94"/>
    <n v="28"/>
    <n v="22.489090909090908"/>
    <n v="69.507878787878795"/>
    <n v="0.48008978241536382"/>
    <n v="2504.9205816902927"/>
    <n v="2.6965714285714286"/>
  </r>
  <r>
    <s v="alexnet"/>
    <s v="__module.features.8/aten::_convolution/Convolution"/>
    <x v="1"/>
    <n v="3"/>
    <n v="32"/>
    <n v="32"/>
    <n v="32"/>
    <n v="31"/>
    <n v="17"/>
    <n v="18"/>
    <x v="0"/>
    <n v="32"/>
    <n v="0.57809999999999995"/>
    <n v="65536"/>
    <n v="18972"/>
    <n v="0.71050000000000002"/>
    <n v="64"/>
    <n v="43.6"/>
    <b v="1"/>
    <n v="0.91428571400000003"/>
    <n v="50"/>
    <n v="94"/>
    <n v="30"/>
    <n v="20.750625000000003"/>
    <n v="71.680000000000007"/>
    <n v="0.49509258811584395"/>
    <n v="2583.1993498681145"/>
    <n v="2.6148571428571428"/>
  </r>
  <r>
    <s v="alexnet"/>
    <s v="__module.features.8/aten::_convolution/Convolution"/>
    <x v="1"/>
    <n v="4"/>
    <n v="32"/>
    <n v="32"/>
    <n v="32"/>
    <n v="31"/>
    <n v="13"/>
    <n v="18"/>
    <x v="0"/>
    <n v="32"/>
    <n v="0.61329999999999996"/>
    <n v="65536"/>
    <n v="14508"/>
    <n v="0.77859999999999996"/>
    <n v="60"/>
    <n v="85.4"/>
    <b v="1"/>
    <n v="0.85714285700000004"/>
    <n v="51"/>
    <n v="94"/>
    <n v="34"/>
    <n v="16.926000000000002"/>
    <n v="76.458666666666673"/>
    <n v="0.52809876065690031"/>
    <n v="2755.4126398593216"/>
    <n v="2.4514285714285711"/>
  </r>
  <r>
    <s v="alexnet"/>
    <s v="__module.features.8/aten::_convolution/Convolution"/>
    <x v="1"/>
    <n v="5"/>
    <n v="32"/>
    <n v="32"/>
    <n v="32"/>
    <n v="31"/>
    <n v="21"/>
    <n v="18"/>
    <x v="0"/>
    <n v="32"/>
    <n v="0.54300000000000004"/>
    <n v="65536"/>
    <n v="23436"/>
    <n v="0.64239999999999997"/>
    <n v="68"/>
    <n v="90.9"/>
    <b v="1"/>
    <n v="0.97142857100000002"/>
    <n v="52"/>
    <n v="94"/>
    <n v="26"/>
    <n v="24.125294117647059"/>
    <n v="67.463529411764711"/>
    <n v="0.4659694946972649"/>
    <n v="2431.246446934696"/>
    <n v="2.778285714285714"/>
  </r>
  <r>
    <s v="alexnet"/>
    <s v="__module.features.8/aten::_convolution/Convolution"/>
    <x v="1"/>
    <n v="6"/>
    <n v="32"/>
    <n v="32"/>
    <n v="32"/>
    <n v="31"/>
    <n v="17"/>
    <n v="18"/>
    <x v="0"/>
    <n v="32"/>
    <n v="0.57809999999999995"/>
    <n v="65536"/>
    <n v="18972"/>
    <n v="0.71050000000000002"/>
    <n v="64"/>
    <n v="42.2"/>
    <b v="1"/>
    <n v="0.91428571400000003"/>
    <n v="53"/>
    <n v="94"/>
    <n v="30"/>
    <n v="20.750625000000003"/>
    <n v="71.680000000000007"/>
    <n v="0.49509258811584395"/>
    <n v="2583.1993498681145"/>
    <n v="2.6148571428571428"/>
  </r>
  <r>
    <s v="alexnet"/>
    <s v="__module.features.8/aten::_convolution/Convolution"/>
    <x v="1"/>
    <n v="7"/>
    <n v="32"/>
    <n v="32"/>
    <n v="32"/>
    <n v="31"/>
    <n v="18"/>
    <n v="18"/>
    <x v="0"/>
    <n v="32"/>
    <n v="0.56930000000000003"/>
    <n v="65536"/>
    <n v="20088"/>
    <n v="0.69350000000000001"/>
    <n v="65"/>
    <n v="112.2"/>
    <b v="1"/>
    <n v="0.928571429"/>
    <n v="54"/>
    <n v="94"/>
    <n v="29"/>
    <n v="21.633230769230771"/>
    <n v="70.577230769230781"/>
    <n v="0.48747577906790795"/>
    <n v="2543.457821408605"/>
    <n v="2.6557142857142857"/>
  </r>
  <r>
    <s v="alexnet"/>
    <s v="__module.features.8/aten::_convolution/Convolution"/>
    <x v="1"/>
    <n v="8"/>
    <n v="32"/>
    <n v="32"/>
    <n v="32"/>
    <n v="31"/>
    <n v="13"/>
    <n v="18"/>
    <x v="0"/>
    <n v="32"/>
    <n v="0.61329999999999996"/>
    <n v="65536"/>
    <n v="14508"/>
    <n v="0.77859999999999996"/>
    <n v="60"/>
    <n v="127"/>
    <b v="1"/>
    <n v="0.85714285700000004"/>
    <n v="55"/>
    <n v="94"/>
    <n v="34"/>
    <n v="16.926000000000002"/>
    <n v="76.458666666666673"/>
    <n v="0.52809876065690031"/>
    <n v="2755.4126398593216"/>
    <n v="2.4514285714285711"/>
  </r>
  <r>
    <s v="alexnet"/>
    <s v="__module.features.8/aten::_convolution/Convolution"/>
    <x v="1"/>
    <n v="9"/>
    <n v="32"/>
    <n v="32"/>
    <n v="32"/>
    <n v="24"/>
    <n v="23"/>
    <n v="18"/>
    <x v="0"/>
    <n v="32"/>
    <n v="0.58689999999999998"/>
    <n v="65536"/>
    <n v="19872"/>
    <n v="0.69679999999999997"/>
    <n v="63"/>
    <n v="76.599999999999994"/>
    <b v="1"/>
    <n v="0.9"/>
    <n v="56"/>
    <n v="94"/>
    <n v="31"/>
    <n v="22.080000000000002"/>
    <n v="72.817777777777778"/>
    <n v="0.50295120062561927"/>
    <n v="2624.2025141517352"/>
    <n v="2.5739999999999998"/>
  </r>
  <r>
    <s v="alexnet"/>
    <s v="__module.features.8/aten::_convolution/Convolution"/>
    <x v="1"/>
    <n v="10"/>
    <n v="32"/>
    <n v="32"/>
    <n v="32"/>
    <n v="24"/>
    <n v="19"/>
    <n v="18"/>
    <x v="0"/>
    <n v="32"/>
    <n v="0.62209999999999999"/>
    <n v="65536"/>
    <n v="16416"/>
    <n v="0.74950000000000006"/>
    <n v="59"/>
    <n v="43.8"/>
    <b v="1"/>
    <n v="0.84285714300000003"/>
    <n v="57"/>
    <n v="94"/>
    <n v="35"/>
    <n v="19.476610169491529"/>
    <n v="77.754576271186451"/>
    <n v="0.5370495871087122"/>
    <n v="2802.11454900948"/>
    <n v="2.4105714285714286"/>
  </r>
  <r>
    <s v="alexnet"/>
    <s v="__module.features.8/aten::_convolution/Convolution"/>
    <x v="1"/>
    <n v="11"/>
    <n v="32"/>
    <n v="32"/>
    <n v="32"/>
    <n v="24"/>
    <n v="17"/>
    <n v="18"/>
    <x v="0"/>
    <n v="32"/>
    <n v="0.63959999999999995"/>
    <n v="65536"/>
    <n v="14688"/>
    <n v="0.77590000000000003"/>
    <n v="57"/>
    <n v="162.6"/>
    <b v="1"/>
    <n v="0.81428571400000005"/>
    <n v="58"/>
    <n v="94"/>
    <n v="37"/>
    <n v="18.037894736842105"/>
    <n v="80.482807017543863"/>
    <n v="0.55589343227042132"/>
    <n v="2900.4343577466548"/>
    <n v="2.3288571428571427"/>
  </r>
  <r>
    <s v="alexnet"/>
    <s v="__module.features.8/aten::_convolution/Convolution"/>
    <x v="1"/>
    <n v="12"/>
    <n v="32"/>
    <n v="32"/>
    <n v="32"/>
    <n v="24"/>
    <n v="13"/>
    <n v="18"/>
    <x v="0"/>
    <n v="32"/>
    <n v="0.67479999999999996"/>
    <n v="65536"/>
    <n v="11232"/>
    <n v="0.8286"/>
    <n v="53"/>
    <n v="40.9"/>
    <b v="1"/>
    <n v="0.75714285699999995"/>
    <n v="59"/>
    <n v="94"/>
    <n v="41"/>
    <n v="14.834716981132077"/>
    <n v="86.556981132075478"/>
    <n v="0.59784765357384928"/>
    <n v="3119.3350639916853"/>
    <n v="2.1654285714285715"/>
  </r>
  <r>
    <s v="alexnet"/>
    <s v="__module.features.8/aten::_convolution/Convolution"/>
    <x v="1"/>
    <n v="13"/>
    <n v="32"/>
    <n v="32"/>
    <n v="32"/>
    <n v="24"/>
    <n v="21"/>
    <n v="18"/>
    <x v="0"/>
    <n v="32"/>
    <n v="0.60450000000000004"/>
    <n v="65536"/>
    <n v="18144"/>
    <n v="0.72309999999999997"/>
    <n v="61"/>
    <n v="41.2"/>
    <b v="1"/>
    <n v="0.87142857100000004"/>
    <n v="60"/>
    <n v="94"/>
    <n v="33"/>
    <n v="20.82098360655738"/>
    <n v="75.205245901639358"/>
    <n v="0.51944140392481997"/>
    <n v="2710.2419408452347"/>
    <n v="2.4922857142857144"/>
  </r>
  <r>
    <s v="alexnet"/>
    <s v="__module.features.8/aten::_convolution/Convolution"/>
    <x v="1"/>
    <n v="14"/>
    <n v="32"/>
    <n v="32"/>
    <n v="32"/>
    <n v="24"/>
    <n v="17"/>
    <n v="18"/>
    <x v="0"/>
    <n v="32"/>
    <n v="0.63959999999999995"/>
    <n v="65536"/>
    <n v="14688"/>
    <n v="0.77590000000000003"/>
    <n v="57"/>
    <n v="41.2"/>
    <b v="1"/>
    <n v="0.81428571400000005"/>
    <n v="61"/>
    <n v="94"/>
    <n v="37"/>
    <n v="18.037894736842105"/>
    <n v="80.482807017543863"/>
    <n v="0.55589343227042132"/>
    <n v="2900.4343577466548"/>
    <n v="2.3288571428571427"/>
  </r>
  <r>
    <s v="alexnet"/>
    <s v="__module.features.8/aten::_convolution/Convolution"/>
    <x v="1"/>
    <n v="15"/>
    <n v="32"/>
    <n v="32"/>
    <n v="32"/>
    <n v="24"/>
    <n v="18"/>
    <n v="18"/>
    <x v="0"/>
    <n v="32"/>
    <n v="0.63090000000000002"/>
    <n v="65536"/>
    <n v="15552"/>
    <n v="0.76270000000000004"/>
    <n v="58"/>
    <n v="78"/>
    <b v="1"/>
    <n v="0.82857142900000003"/>
    <n v="62"/>
    <n v="94"/>
    <n v="36"/>
    <n v="18.769655172413792"/>
    <n v="79.095172413793108"/>
    <n v="0.54630906274851743"/>
    <n v="2850.4268688199882"/>
    <n v="2.3697142857142857"/>
  </r>
  <r>
    <s v="alexnet"/>
    <s v="__module.features.8/aten::_convolution/Convolution"/>
    <x v="1"/>
    <n v="16"/>
    <n v="32"/>
    <n v="32"/>
    <n v="32"/>
    <n v="24"/>
    <n v="13"/>
    <n v="18"/>
    <x v="0"/>
    <n v="32"/>
    <n v="0.67479999999999996"/>
    <n v="65536"/>
    <n v="11232"/>
    <n v="0.8286"/>
    <n v="53"/>
    <n v="40.6"/>
    <b v="1"/>
    <n v="0.75714285699999995"/>
    <n v="63"/>
    <n v="94"/>
    <n v="41"/>
    <n v="14.834716981132077"/>
    <n v="86.556981132075478"/>
    <n v="0.59784765357384928"/>
    <n v="3119.3350639916853"/>
    <n v="2.1654285714285715"/>
  </r>
  <r>
    <s v="alexnet"/>
    <s v="__module.features.8/aten::_convolution/Convolution"/>
    <x v="1"/>
    <n v="17"/>
    <n v="32"/>
    <n v="32"/>
    <n v="32"/>
    <n v="24"/>
    <n v="23"/>
    <n v="18"/>
    <x v="0"/>
    <n v="32"/>
    <n v="0.58689999999999998"/>
    <n v="65536"/>
    <n v="19872"/>
    <n v="0.69679999999999997"/>
    <n v="63"/>
    <n v="159.9"/>
    <b v="1"/>
    <n v="0.9"/>
    <n v="64"/>
    <n v="94"/>
    <n v="31"/>
    <n v="22.080000000000002"/>
    <n v="72.817777777777778"/>
    <n v="0.50295120062561927"/>
    <n v="2624.2025141517352"/>
    <n v="2.5739999999999998"/>
  </r>
  <r>
    <s v="alexnet"/>
    <s v="__module.features.8/aten::_convolution/Convolution"/>
    <x v="1"/>
    <n v="18"/>
    <n v="32"/>
    <n v="32"/>
    <n v="32"/>
    <n v="24"/>
    <n v="19"/>
    <n v="18"/>
    <x v="0"/>
    <n v="32"/>
    <n v="0.62209999999999999"/>
    <n v="65536"/>
    <n v="16416"/>
    <n v="0.74950000000000006"/>
    <n v="59"/>
    <n v="38.700000000000003"/>
    <b v="1"/>
    <n v="0.84285714300000003"/>
    <n v="65"/>
    <n v="94"/>
    <n v="35"/>
    <n v="19.476610169491529"/>
    <n v="77.754576271186451"/>
    <n v="0.5370495871087122"/>
    <n v="2802.11454900948"/>
    <n v="2.4105714285714286"/>
  </r>
  <r>
    <s v="alexnet"/>
    <s v="__module.features.8/aten::_convolution/Convolution"/>
    <x v="1"/>
    <n v="19"/>
    <n v="32"/>
    <n v="32"/>
    <n v="32"/>
    <n v="24"/>
    <n v="17"/>
    <n v="18"/>
    <x v="0"/>
    <n v="32"/>
    <n v="0.63959999999999995"/>
    <n v="65536"/>
    <n v="14688"/>
    <n v="0.77590000000000003"/>
    <n v="57"/>
    <n v="45.3"/>
    <b v="1"/>
    <n v="0.81428571400000005"/>
    <n v="66"/>
    <n v="94"/>
    <n v="37"/>
    <n v="18.037894736842105"/>
    <n v="80.482807017543863"/>
    <n v="0.55589343227042132"/>
    <n v="2900.4343577466548"/>
    <n v="2.3288571428571427"/>
  </r>
  <r>
    <s v="alexnet"/>
    <s v="__module.features.8/aten::_convolution/Convolution"/>
    <x v="1"/>
    <n v="20"/>
    <n v="32"/>
    <n v="32"/>
    <n v="32"/>
    <n v="24"/>
    <n v="13"/>
    <n v="18"/>
    <x v="0"/>
    <n v="32"/>
    <n v="0.67479999999999996"/>
    <n v="65536"/>
    <n v="11232"/>
    <n v="0.8286"/>
    <n v="53"/>
    <n v="50.3"/>
    <b v="1"/>
    <n v="0.75714285699999995"/>
    <n v="67"/>
    <n v="94"/>
    <n v="41"/>
    <n v="14.834716981132077"/>
    <n v="86.556981132075478"/>
    <n v="0.59784765357384928"/>
    <n v="3119.3350639916853"/>
    <n v="2.1654285714285715"/>
  </r>
  <r>
    <s v="alexnet"/>
    <s v="__module.features.8/aten::_convolution/Convolution"/>
    <x v="1"/>
    <n v="21"/>
    <n v="32"/>
    <n v="32"/>
    <n v="32"/>
    <n v="24"/>
    <n v="21"/>
    <n v="18"/>
    <x v="0"/>
    <n v="32"/>
    <n v="0.60450000000000004"/>
    <n v="65536"/>
    <n v="18144"/>
    <n v="0.72309999999999997"/>
    <n v="61"/>
    <n v="69.400000000000006"/>
    <b v="1"/>
    <n v="0.87142857100000004"/>
    <n v="68"/>
    <n v="94"/>
    <n v="33"/>
    <n v="20.82098360655738"/>
    <n v="75.205245901639358"/>
    <n v="0.51944140392481997"/>
    <n v="2710.2419408452347"/>
    <n v="2.4922857142857144"/>
  </r>
  <r>
    <s v="alexnet"/>
    <s v="__module.features.8/aten::_convolution/Convolution"/>
    <x v="1"/>
    <n v="22"/>
    <n v="32"/>
    <n v="32"/>
    <n v="32"/>
    <n v="24"/>
    <n v="17"/>
    <n v="18"/>
    <x v="0"/>
    <n v="32"/>
    <n v="0.63959999999999995"/>
    <n v="65536"/>
    <n v="14688"/>
    <n v="0.77590000000000003"/>
    <n v="57"/>
    <n v="47.8"/>
    <b v="1"/>
    <n v="0.81428571400000005"/>
    <n v="69"/>
    <n v="94"/>
    <n v="37"/>
    <n v="18.037894736842105"/>
    <n v="80.482807017543863"/>
    <n v="0.55589343227042132"/>
    <n v="2900.4343577466548"/>
    <n v="2.3288571428571427"/>
  </r>
  <r>
    <s v="alexnet"/>
    <s v="__module.features.8/aten::_convolution/Convolution"/>
    <x v="1"/>
    <n v="23"/>
    <n v="32"/>
    <n v="32"/>
    <n v="32"/>
    <n v="24"/>
    <n v="18"/>
    <n v="18"/>
    <x v="0"/>
    <n v="32"/>
    <n v="0.63090000000000002"/>
    <n v="65536"/>
    <n v="15552"/>
    <n v="0.76270000000000004"/>
    <n v="58"/>
    <n v="156.80000000000001"/>
    <b v="1"/>
    <n v="0.82857142900000003"/>
    <n v="70"/>
    <n v="94"/>
    <n v="36"/>
    <n v="18.769655172413792"/>
    <n v="79.095172413793108"/>
    <n v="0.54630906274851743"/>
    <n v="2850.4268688199882"/>
    <n v="2.3697142857142857"/>
  </r>
  <r>
    <s v="alexnet"/>
    <s v="__module.features.8/aten::_convolution/Convolution"/>
    <x v="1"/>
    <n v="24"/>
    <n v="32"/>
    <n v="32"/>
    <n v="32"/>
    <n v="24"/>
    <n v="13"/>
    <n v="18"/>
    <x v="0"/>
    <n v="32"/>
    <n v="0.67479999999999996"/>
    <n v="65536"/>
    <n v="11232"/>
    <n v="0.8286"/>
    <n v="53"/>
    <n v="177.6"/>
    <b v="1"/>
    <n v="0.75714285699999995"/>
    <n v="71"/>
    <n v="94"/>
    <n v="41"/>
    <n v="14.834716981132077"/>
    <n v="86.556981132075478"/>
    <n v="0.59784765357384928"/>
    <n v="3119.3350639916853"/>
    <n v="2.1654285714285715"/>
  </r>
  <r>
    <s v="alexnet"/>
    <s v="__module.features.8/aten::_convolution/Convolution"/>
    <x v="1"/>
    <n v="25"/>
    <n v="32"/>
    <n v="32"/>
    <n v="32"/>
    <n v="29"/>
    <n v="23"/>
    <n v="18"/>
    <x v="0"/>
    <n v="32"/>
    <n v="0.54300000000000004"/>
    <n v="65536"/>
    <n v="24012"/>
    <n v="0.63360000000000005"/>
    <n v="68"/>
    <n v="75.7"/>
    <b v="1"/>
    <n v="0.97142857100000002"/>
    <n v="72"/>
    <n v="94"/>
    <n v="26"/>
    <n v="24.718235294117651"/>
    <n v="67.463529411764711"/>
    <n v="0.4659694946972649"/>
    <n v="2431.246446934696"/>
    <n v="2.778285714285714"/>
  </r>
  <r>
    <s v="alexnet"/>
    <s v="__module.features.8/aten::_convolution/Convolution"/>
    <x v="1"/>
    <n v="26"/>
    <n v="32"/>
    <n v="32"/>
    <n v="32"/>
    <n v="29"/>
    <n v="19"/>
    <n v="18"/>
    <x v="0"/>
    <n v="32"/>
    <n v="0.57809999999999995"/>
    <n v="65536"/>
    <n v="19836"/>
    <n v="0.69730000000000003"/>
    <n v="64"/>
    <n v="111.3"/>
    <b v="1"/>
    <n v="0.91428571400000003"/>
    <n v="73"/>
    <n v="94"/>
    <n v="30"/>
    <n v="21.695625000000003"/>
    <n v="71.680000000000007"/>
    <n v="0.49509258811584395"/>
    <n v="2583.1993498681145"/>
    <n v="2.6148571428571428"/>
  </r>
  <r>
    <s v="alexnet"/>
    <s v="__module.features.8/aten::_convolution/Convolution"/>
    <x v="1"/>
    <n v="27"/>
    <n v="32"/>
    <n v="32"/>
    <n v="32"/>
    <n v="29"/>
    <n v="17"/>
    <n v="18"/>
    <x v="0"/>
    <n v="32"/>
    <n v="0.59570000000000001"/>
    <n v="65536"/>
    <n v="17748"/>
    <n v="0.72919999999999996"/>
    <n v="62"/>
    <n v="115.1"/>
    <b v="1"/>
    <n v="0.88571428600000002"/>
    <n v="74"/>
    <n v="94"/>
    <n v="32"/>
    <n v="20.038064516129033"/>
    <n v="73.992258064516136"/>
    <n v="0.51106331676474215"/>
    <n v="2666.5283611541827"/>
    <n v="2.5331428571428569"/>
  </r>
  <r>
    <s v="alexnet"/>
    <s v="__module.features.8/aten::_convolution/Convolution"/>
    <x v="1"/>
    <n v="28"/>
    <n v="32"/>
    <n v="32"/>
    <n v="32"/>
    <n v="29"/>
    <n v="13"/>
    <n v="18"/>
    <x v="0"/>
    <n v="32"/>
    <n v="0.63090000000000002"/>
    <n v="65536"/>
    <n v="13572"/>
    <n v="0.79290000000000005"/>
    <n v="58"/>
    <n v="102.6"/>
    <b v="1"/>
    <n v="0.82857142900000003"/>
    <n v="75"/>
    <n v="94"/>
    <n v="36"/>
    <n v="16.380000000000003"/>
    <n v="79.095172413793108"/>
    <n v="0.54630906274851743"/>
    <n v="2850.4268688199882"/>
    <n v="2.3697142857142857"/>
  </r>
  <r>
    <s v="alexnet"/>
    <s v="__module.features.8/aten::_convolution/Convolution"/>
    <x v="1"/>
    <n v="29"/>
    <n v="32"/>
    <n v="32"/>
    <n v="32"/>
    <n v="29"/>
    <n v="21"/>
    <n v="18"/>
    <x v="0"/>
    <n v="32"/>
    <n v="0.5605"/>
    <n v="65536"/>
    <n v="21924"/>
    <n v="0.66549999999999998"/>
    <n v="66"/>
    <n v="50.3"/>
    <b v="1"/>
    <n v="0.94285714300000001"/>
    <n v="76"/>
    <n v="94"/>
    <n v="28"/>
    <n v="23.252727272727274"/>
    <n v="69.507878787878795"/>
    <n v="0.48008978241536382"/>
    <n v="2504.9205816902927"/>
    <n v="2.6965714285714286"/>
  </r>
  <r>
    <s v="alexnet"/>
    <s v="__module.features.8/aten::_convolution/Convolution"/>
    <x v="1"/>
    <n v="30"/>
    <n v="32"/>
    <n v="32"/>
    <n v="32"/>
    <n v="29"/>
    <n v="17"/>
    <n v="18"/>
    <x v="0"/>
    <n v="32"/>
    <n v="0.59570000000000001"/>
    <n v="65536"/>
    <n v="17748"/>
    <n v="0.72919999999999996"/>
    <n v="62"/>
    <n v="49.6"/>
    <b v="1"/>
    <n v="0.88571428600000002"/>
    <n v="77"/>
    <n v="94"/>
    <n v="32"/>
    <n v="20.038064516129033"/>
    <n v="73.992258064516136"/>
    <n v="0.51106331676474215"/>
    <n v="2666.5283611541827"/>
    <n v="2.5331428571428569"/>
  </r>
  <r>
    <s v="alexnet"/>
    <s v="__module.features.8/aten::_convolution/Convolution"/>
    <x v="1"/>
    <n v="31"/>
    <n v="32"/>
    <n v="32"/>
    <n v="32"/>
    <n v="29"/>
    <n v="18"/>
    <n v="18"/>
    <x v="0"/>
    <n v="32"/>
    <n v="0.58689999999999998"/>
    <n v="65536"/>
    <n v="18792"/>
    <n v="0.71330000000000005"/>
    <n v="63"/>
    <n v="48.9"/>
    <b v="1"/>
    <n v="0.9"/>
    <n v="78"/>
    <n v="94"/>
    <n v="31"/>
    <n v="20.880000000000003"/>
    <n v="72.817777777777778"/>
    <n v="0.50295120062561927"/>
    <n v="2624.2025141517352"/>
    <n v="2.5739999999999998"/>
  </r>
  <r>
    <s v="alexnet"/>
    <s v="__module.features.8/aten::_convolution/Convolution"/>
    <x v="1"/>
    <n v="32"/>
    <n v="32"/>
    <n v="32"/>
    <n v="32"/>
    <n v="29"/>
    <n v="13"/>
    <n v="18"/>
    <x v="0"/>
    <n v="32"/>
    <n v="0.63090000000000002"/>
    <n v="65536"/>
    <n v="13572"/>
    <n v="0.79290000000000005"/>
    <n v="58"/>
    <n v="60.2"/>
    <b v="1"/>
    <n v="0.82857142900000003"/>
    <n v="79"/>
    <n v="94"/>
    <n v="36"/>
    <n v="16.380000000000003"/>
    <n v="79.095172413793108"/>
    <n v="0.54630906274851743"/>
    <n v="2850.4268688199882"/>
    <n v="2.3697142857142857"/>
  </r>
  <r>
    <s v="alexnet"/>
    <s v="__module.features.8/aten::_convolution/Convolution"/>
    <x v="1"/>
    <n v="33"/>
    <n v="32"/>
    <n v="32"/>
    <n v="32"/>
    <n v="32"/>
    <n v="23"/>
    <n v="18"/>
    <x v="0"/>
    <n v="32"/>
    <n v="0.51659999999999995"/>
    <n v="65536"/>
    <n v="26496"/>
    <n v="0.59570000000000001"/>
    <n v="71"/>
    <n v="70.099999999999994"/>
    <b v="1"/>
    <n v="1.0142857139999999"/>
    <n v="80"/>
    <n v="94"/>
    <n v="23"/>
    <n v="26.122816901408456"/>
    <n v="64.612957746478884"/>
    <n v="0.4462806428086481"/>
    <n v="2328.5177238247798"/>
    <n v="2.9008571428571428"/>
  </r>
  <r>
    <s v="alexnet"/>
    <s v="__module.features.8/aten::_convolution/Convolution"/>
    <x v="1"/>
    <n v="34"/>
    <n v="32"/>
    <n v="32"/>
    <n v="32"/>
    <n v="32"/>
    <n v="19"/>
    <n v="18"/>
    <x v="0"/>
    <n v="32"/>
    <n v="0.55179999999999996"/>
    <n v="65536"/>
    <n v="21888"/>
    <n v="0.66600000000000004"/>
    <n v="67"/>
    <n v="41.2"/>
    <b v="1"/>
    <n v="0.95714285700000001"/>
    <n v="81"/>
    <n v="94"/>
    <n v="27"/>
    <n v="22.868059701492541"/>
    <n v="68.470447761194038"/>
    <n v="0.47292426327483605"/>
    <n v="2467.5337073367064"/>
    <n v="2.7374285714285715"/>
  </r>
  <r>
    <s v="alexnet"/>
    <s v="__module.features.8/aten::_convolution/Convolution"/>
    <x v="1"/>
    <n v="35"/>
    <n v="32"/>
    <n v="32"/>
    <n v="32"/>
    <n v="32"/>
    <n v="17"/>
    <n v="18"/>
    <x v="0"/>
    <n v="32"/>
    <n v="0.56930000000000003"/>
    <n v="65536"/>
    <n v="19584"/>
    <n v="0.70120000000000005"/>
    <n v="65"/>
    <n v="139.69999999999999"/>
    <b v="1"/>
    <n v="0.928571429"/>
    <n v="82"/>
    <n v="94"/>
    <n v="29"/>
    <n v="21.09046153846154"/>
    <n v="70.577230769230781"/>
    <n v="0.48747577906790795"/>
    <n v="2543.457821408605"/>
    <n v="2.6557142857142857"/>
  </r>
  <r>
    <s v="alexnet"/>
    <s v="__module.features.8/aten::_convolution/Convolution"/>
    <x v="1"/>
    <n v="36"/>
    <n v="32"/>
    <n v="32"/>
    <n v="32"/>
    <n v="32"/>
    <n v="13"/>
    <n v="18"/>
    <x v="0"/>
    <n v="32"/>
    <n v="0.60450000000000004"/>
    <n v="65536"/>
    <n v="14976"/>
    <n v="0.77149999999999996"/>
    <n v="61"/>
    <n v="113.2"/>
    <b v="1"/>
    <n v="0.87142857100000004"/>
    <n v="83"/>
    <n v="94"/>
    <n v="33"/>
    <n v="17.185573770491803"/>
    <n v="75.205245901639358"/>
    <n v="0.51944140392481997"/>
    <n v="2710.2419408452347"/>
    <n v="2.4922857142857144"/>
  </r>
  <r>
    <s v="alexnet"/>
    <s v="__module.features.8/aten::_convolution/Convolution"/>
    <x v="1"/>
    <n v="37"/>
    <n v="32"/>
    <n v="32"/>
    <n v="32"/>
    <n v="32"/>
    <n v="21"/>
    <n v="18"/>
    <x v="0"/>
    <n v="32"/>
    <n v="0.53420000000000001"/>
    <n v="65536"/>
    <n v="24192"/>
    <n v="0.63090000000000002"/>
    <n v="69"/>
    <n v="45.9"/>
    <b v="1"/>
    <n v="0.985714286"/>
    <n v="84"/>
    <n v="94"/>
    <n v="25"/>
    <n v="24.542608695652177"/>
    <n v="66.485797101449279"/>
    <n v="0.45921631361469584"/>
    <n v="2396.0109911820191"/>
    <n v="2.8191428571428574"/>
  </r>
  <r>
    <s v="alexnet"/>
    <s v="__module.features.8/aten::_convolution/Convolution"/>
    <x v="1"/>
    <n v="38"/>
    <n v="32"/>
    <n v="32"/>
    <n v="32"/>
    <n v="32"/>
    <n v="17"/>
    <n v="18"/>
    <x v="0"/>
    <n v="32"/>
    <n v="0.56930000000000003"/>
    <n v="65536"/>
    <n v="19584"/>
    <n v="0.70120000000000005"/>
    <n v="65"/>
    <n v="50.1"/>
    <b v="1"/>
    <n v="0.928571429"/>
    <n v="85"/>
    <n v="94"/>
    <n v="29"/>
    <n v="21.09046153846154"/>
    <n v="70.577230769230781"/>
    <n v="0.48747577906790795"/>
    <n v="2543.457821408605"/>
    <n v="2.6557142857142857"/>
  </r>
  <r>
    <s v="alexnet"/>
    <s v="__module.features.8/aten::_convolution/Convolution"/>
    <x v="1"/>
    <n v="39"/>
    <n v="32"/>
    <n v="32"/>
    <n v="32"/>
    <n v="32"/>
    <n v="18"/>
    <n v="18"/>
    <x v="0"/>
    <n v="32"/>
    <n v="0.5605"/>
    <n v="65536"/>
    <n v="20736"/>
    <n v="0.68359999999999999"/>
    <n v="66"/>
    <n v="47.7"/>
    <b v="1"/>
    <n v="0.94285714300000001"/>
    <n v="86"/>
    <n v="94"/>
    <n v="28"/>
    <n v="21.992727272727276"/>
    <n v="69.507878787878795"/>
    <n v="0.48008978241536382"/>
    <n v="2504.9205816902927"/>
    <n v="2.6965714285714286"/>
  </r>
  <r>
    <s v="alexnet"/>
    <s v="__module.features.8/aten::_convolution/Convolution"/>
    <x v="1"/>
    <n v="40"/>
    <n v="32"/>
    <n v="32"/>
    <n v="32"/>
    <n v="32"/>
    <n v="13"/>
    <n v="18"/>
    <x v="0"/>
    <n v="32"/>
    <n v="0.60450000000000004"/>
    <n v="65536"/>
    <n v="14976"/>
    <n v="0.77149999999999996"/>
    <n v="61"/>
    <n v="50.1"/>
    <b v="1"/>
    <n v="0.87142857100000004"/>
    <n v="87"/>
    <n v="94"/>
    <n v="33"/>
    <n v="17.185573770491803"/>
    <n v="75.205245901639358"/>
    <n v="0.51944140392481997"/>
    <n v="2710.2419408452347"/>
    <n v="2.4922857142857144"/>
  </r>
  <r>
    <s v="alexnet"/>
    <s v="__module.features.8/aten::_convolution/Convolution"/>
    <x v="1"/>
    <n v="41"/>
    <n v="9"/>
    <n v="32"/>
    <n v="32"/>
    <n v="9"/>
    <n v="23"/>
    <n v="9"/>
    <x v="0"/>
    <n v="32"/>
    <n v="0.78049999999999997"/>
    <n v="18432"/>
    <n v="3726"/>
    <n v="0.79790000000000005"/>
    <n v="39"/>
    <n v="54.7"/>
    <b v="1"/>
    <n v="0.55714285699999999"/>
    <n v="88"/>
    <n v="71"/>
    <n v="32"/>
    <n v="6.6876923076923083"/>
    <n v="33.083076923076931"/>
    <n v="0.22850427143808186"/>
    <n v="1192.2458537852838"/>
    <n v="1.5934285714285716"/>
  </r>
  <r>
    <s v="alexnet"/>
    <s v="__module.features.8/aten::_convolution/Convolution"/>
    <x v="1"/>
    <n v="42"/>
    <n v="9"/>
    <n v="32"/>
    <n v="32"/>
    <n v="9"/>
    <n v="19"/>
    <n v="9"/>
    <x v="0"/>
    <n v="32"/>
    <n v="0.80789999999999995"/>
    <n v="18432"/>
    <n v="3078"/>
    <n v="0.83299999999999996"/>
    <n v="35"/>
    <n v="14.5"/>
    <b v="1"/>
    <n v="0.5"/>
    <n v="89"/>
    <n v="71"/>
    <n v="36"/>
    <n v="6.1559999999999997"/>
    <n v="36.863999999999997"/>
    <n v="0.25461904531671969"/>
    <n v="1328.5025227893159"/>
    <n v="1.43"/>
  </r>
  <r>
    <s v="alexnet"/>
    <s v="__module.features.8/aten::_convolution/Convolution"/>
    <x v="1"/>
    <n v="43"/>
    <n v="9"/>
    <n v="32"/>
    <n v="32"/>
    <n v="9"/>
    <n v="17"/>
    <n v="9"/>
    <x v="0"/>
    <n v="32"/>
    <n v="0.8216"/>
    <n v="18432"/>
    <n v="2754"/>
    <n v="0.85060000000000002"/>
    <n v="33"/>
    <n v="20.6"/>
    <b v="1"/>
    <n v="0.47142857100000002"/>
    <n v="90"/>
    <n v="71"/>
    <n v="38"/>
    <n v="5.8418181818181827"/>
    <n v="39.098181818181821"/>
    <n v="0.27005050260864216"/>
    <n v="1409.0178272007897"/>
    <n v="1.3482857142857143"/>
  </r>
  <r>
    <s v="alexnet"/>
    <s v="__module.features.8/aten::_convolution/Convolution"/>
    <x v="1"/>
    <n v="44"/>
    <n v="9"/>
    <n v="32"/>
    <n v="32"/>
    <n v="9"/>
    <n v="13"/>
    <n v="9"/>
    <x v="1"/>
    <n v="16"/>
    <n v="0.84909999999999997"/>
    <n v="18432"/>
    <n v="2106"/>
    <n v="0.88570000000000004"/>
    <n v="29"/>
    <n v="15.3"/>
    <b v="1"/>
    <n v="0.41428571400000003"/>
    <n v="91"/>
    <n v="71"/>
    <n v="42"/>
    <n v="5.0834482758620698"/>
    <n v="44.491034482758629"/>
    <n v="5.8402513104172522"/>
    <n v="8919.9549598577323"/>
    <n v="0.9155714285714287"/>
  </r>
  <r>
    <s v="alexnet"/>
    <s v="__module.features.8/aten::_convolution/Convolution"/>
    <x v="1"/>
    <n v="45"/>
    <n v="9"/>
    <n v="32"/>
    <n v="32"/>
    <n v="9"/>
    <n v="21"/>
    <n v="9"/>
    <x v="0"/>
    <n v="32"/>
    <n v="0.79420000000000002"/>
    <n v="18432"/>
    <n v="3402"/>
    <n v="0.81540000000000001"/>
    <n v="37"/>
    <n v="34"/>
    <b v="1"/>
    <n v="0.52857142899999998"/>
    <n v="92"/>
    <n v="71"/>
    <n v="34"/>
    <n v="6.4362162162162173"/>
    <n v="34.871351351351358"/>
    <n v="0.24085585367797815"/>
    <n v="1256.6915756115152"/>
    <n v="1.5117142857142858"/>
  </r>
  <r>
    <s v="alexnet"/>
    <s v="__module.features.8/aten::_convolution/Convolution"/>
    <x v="1"/>
    <n v="46"/>
    <n v="9"/>
    <n v="32"/>
    <n v="32"/>
    <n v="9"/>
    <n v="17"/>
    <n v="9"/>
    <x v="0"/>
    <n v="32"/>
    <n v="0.8216"/>
    <n v="18432"/>
    <n v="2754"/>
    <n v="0.85060000000000002"/>
    <n v="33"/>
    <n v="59.6"/>
    <b v="1"/>
    <n v="0.47142857100000002"/>
    <n v="93"/>
    <n v="71"/>
    <n v="38"/>
    <n v="5.8418181818181827"/>
    <n v="39.098181818181821"/>
    <n v="0.27005050260864216"/>
    <n v="1409.0178272007897"/>
    <n v="1.3482857142857143"/>
  </r>
  <r>
    <s v="alexnet"/>
    <s v="__module.features.8/aten::_convolution/Convolution"/>
    <x v="1"/>
    <n v="47"/>
    <n v="9"/>
    <n v="32"/>
    <n v="32"/>
    <n v="9"/>
    <n v="18"/>
    <n v="9"/>
    <x v="0"/>
    <n v="32"/>
    <n v="0.81479999999999997"/>
    <n v="18432"/>
    <n v="2916"/>
    <n v="0.84179999999999999"/>
    <n v="34"/>
    <n v="18"/>
    <b v="1"/>
    <n v="0.485714286"/>
    <n v="94"/>
    <n v="71"/>
    <n v="37"/>
    <n v="6.0035294117647062"/>
    <n v="37.948235294117652"/>
    <n v="0.2621078407672115"/>
    <n v="1367.5761264007665"/>
    <n v="1.389142857142857"/>
  </r>
  <r>
    <s v="alexnet"/>
    <s v="__module.features.8/aten::_convolution/Convolution"/>
    <x v="1"/>
    <n v="48"/>
    <n v="9"/>
    <n v="32"/>
    <n v="32"/>
    <n v="9"/>
    <n v="13"/>
    <n v="9"/>
    <x v="1"/>
    <n v="16"/>
    <n v="0.84909999999999997"/>
    <n v="18432"/>
    <n v="2106"/>
    <n v="0.88570000000000004"/>
    <n v="29"/>
    <n v="14.7"/>
    <b v="1"/>
    <n v="0.41428571400000003"/>
    <n v="95"/>
    <n v="71"/>
    <n v="42"/>
    <n v="5.0834482758620698"/>
    <n v="44.491034482758629"/>
    <n v="5.8402513104172522"/>
    <n v="8919.9549598577323"/>
    <n v="0.9155714285714287"/>
  </r>
  <r>
    <s v="alexnet"/>
    <s v="__module.features.6/aten::_convolution/Convolution"/>
    <x v="2"/>
    <n v="1"/>
    <n v="32"/>
    <n v="32"/>
    <n v="32"/>
    <n v="22"/>
    <n v="16"/>
    <n v="8"/>
    <x v="0"/>
    <n v="32"/>
    <n v="0.85160000000000002"/>
    <n v="65536"/>
    <n v="5632"/>
    <n v="0.91410000000000002"/>
    <n v="44"/>
    <n v="44.3"/>
    <b v="1"/>
    <n v="0.62857142899999996"/>
    <n v="96"/>
    <n v="94"/>
    <n v="50"/>
    <n v="8.9600000000000009"/>
    <n v="104.2618181818182"/>
    <n v="0.72013467362304584"/>
    <n v="3757.3808725354393"/>
    <n v="1.7977142857142858"/>
  </r>
  <r>
    <s v="alexnet"/>
    <s v="__module.features.6/aten::_convolution/Convolution"/>
    <x v="2"/>
    <n v="2"/>
    <n v="32"/>
    <n v="32"/>
    <n v="32"/>
    <n v="22"/>
    <n v="17"/>
    <n v="8"/>
    <x v="0"/>
    <n v="32"/>
    <n v="0.84770000000000001"/>
    <n v="65536"/>
    <n v="5984"/>
    <n v="0.90869999999999995"/>
    <n v="45"/>
    <n v="49.2"/>
    <b v="1"/>
    <n v="0.64285714299999996"/>
    <n v="97"/>
    <n v="94"/>
    <n v="49"/>
    <n v="9.3084444444444454"/>
    <n v="101.9448888888889"/>
    <n v="0.70413168087586697"/>
    <n v="3673.8835198124293"/>
    <n v="1.8385714285714287"/>
  </r>
  <r>
    <s v="alexnet"/>
    <s v="__module.features.6/aten::_convolution/Convolution"/>
    <x v="2"/>
    <n v="3"/>
    <n v="32"/>
    <n v="32"/>
    <n v="32"/>
    <n v="22"/>
    <n v="17"/>
    <n v="8"/>
    <x v="0"/>
    <n v="32"/>
    <n v="0.84770000000000001"/>
    <n v="65536"/>
    <n v="5984"/>
    <n v="0.90869999999999995"/>
    <n v="45"/>
    <n v="48.6"/>
    <b v="1"/>
    <n v="0.64285714299999996"/>
    <n v="98"/>
    <n v="94"/>
    <n v="49"/>
    <n v="9.3084444444444454"/>
    <n v="101.9448888888889"/>
    <n v="0.70413168087586697"/>
    <n v="3673.8835198124293"/>
    <n v="1.8385714285714287"/>
  </r>
  <r>
    <s v="alexnet"/>
    <s v="__module.features.6/aten::_convolution/Convolution"/>
    <x v="2"/>
    <n v="4"/>
    <n v="32"/>
    <n v="32"/>
    <n v="32"/>
    <n v="22"/>
    <n v="15"/>
    <n v="8"/>
    <x v="0"/>
    <n v="32"/>
    <n v="0.85550000000000004"/>
    <n v="65536"/>
    <n v="5280"/>
    <n v="0.9194"/>
    <n v="43"/>
    <n v="88.8"/>
    <b v="1"/>
    <n v="0.61428571399999998"/>
    <n v="99"/>
    <n v="94"/>
    <n v="51"/>
    <n v="8.5953488372093041"/>
    <n v="106.68651162790698"/>
    <n v="0.73688199161427936"/>
    <n v="3844.7618230595185"/>
    <n v="1.7568571428571429"/>
  </r>
  <r>
    <s v="alexnet"/>
    <s v="__module.features.6/aten::_convolution/Convolution"/>
    <x v="2"/>
    <n v="5"/>
    <n v="32"/>
    <n v="32"/>
    <n v="32"/>
    <n v="22"/>
    <n v="18"/>
    <n v="8"/>
    <x v="0"/>
    <n v="32"/>
    <n v="0.84379999999999999"/>
    <n v="65536"/>
    <n v="6336"/>
    <n v="0.90329999999999999"/>
    <n v="46"/>
    <n v="49.1"/>
    <b v="1"/>
    <n v="0.65714285699999997"/>
    <n v="100"/>
    <n v="94"/>
    <n v="48"/>
    <n v="9.6417391304347824"/>
    <n v="99.728695652173926"/>
    <n v="0.68882447042204387"/>
    <n v="3594.0164867730291"/>
    <n v="1.8794285714285712"/>
  </r>
  <r>
    <s v="alexnet"/>
    <s v="__module.features.6/aten::_convolution/Convolution"/>
    <x v="2"/>
    <n v="6"/>
    <n v="32"/>
    <n v="32"/>
    <n v="32"/>
    <n v="22"/>
    <n v="18"/>
    <n v="8"/>
    <x v="0"/>
    <n v="32"/>
    <n v="0.84379999999999999"/>
    <n v="65536"/>
    <n v="6336"/>
    <n v="0.90329999999999999"/>
    <n v="46"/>
    <n v="50.7"/>
    <b v="1"/>
    <n v="0.65714285699999997"/>
    <n v="101"/>
    <n v="94"/>
    <n v="48"/>
    <n v="9.6417391304347824"/>
    <n v="99.728695652173926"/>
    <n v="0.68882447042204387"/>
    <n v="3594.0164867730291"/>
    <n v="1.8794285714285712"/>
  </r>
  <r>
    <s v="alexnet"/>
    <s v="__module.features.6/aten::_convolution/Convolution"/>
    <x v="2"/>
    <n v="7"/>
    <n v="32"/>
    <n v="32"/>
    <n v="32"/>
    <n v="22"/>
    <n v="20"/>
    <n v="8"/>
    <x v="0"/>
    <n v="32"/>
    <n v="0.83589999999999998"/>
    <n v="65536"/>
    <n v="7040"/>
    <n v="0.89259999999999995"/>
    <n v="48"/>
    <n v="49.3"/>
    <b v="1"/>
    <n v="0.68571428599999995"/>
    <n v="102"/>
    <n v="94"/>
    <n v="46"/>
    <n v="10.266666666666667"/>
    <n v="95.573333333333338"/>
    <n v="0.66012345082112533"/>
    <n v="3444.2657998241525"/>
    <n v="1.9611428571428571"/>
  </r>
  <r>
    <s v="alexnet"/>
    <s v="__module.features.6/aten::_convolution/Convolution"/>
    <x v="2"/>
    <n v="8"/>
    <n v="32"/>
    <n v="32"/>
    <n v="32"/>
    <n v="22"/>
    <n v="21"/>
    <n v="8"/>
    <x v="0"/>
    <n v="32"/>
    <n v="0.83199999999999996"/>
    <n v="65536"/>
    <n v="7392"/>
    <n v="0.88719999999999999"/>
    <n v="49"/>
    <n v="47.9"/>
    <b v="1"/>
    <n v="0.7"/>
    <n v="103"/>
    <n v="94"/>
    <n v="45"/>
    <n v="10.56"/>
    <n v="93.622857142857143"/>
    <n v="0.64665154366151045"/>
    <n v="3373.9746610522307"/>
    <n v="2.0019999999999998"/>
  </r>
  <r>
    <s v="alexnet"/>
    <s v="__module.features.6/aten::_convolution/Convolution"/>
    <x v="2"/>
    <n v="9"/>
    <n v="32"/>
    <n v="32"/>
    <n v="32"/>
    <n v="22"/>
    <n v="17"/>
    <n v="8"/>
    <x v="0"/>
    <n v="32"/>
    <n v="0.84770000000000001"/>
    <n v="65536"/>
    <n v="5984"/>
    <n v="0.90869999999999995"/>
    <n v="45"/>
    <n v="160.69999999999999"/>
    <b v="1"/>
    <n v="0.64285714299999996"/>
    <n v="104"/>
    <n v="94"/>
    <n v="49"/>
    <n v="9.3084444444444454"/>
    <n v="101.9448888888889"/>
    <n v="0.70413168087586697"/>
    <n v="3673.8835198124293"/>
    <n v="1.8385714285714287"/>
  </r>
  <r>
    <s v="alexnet"/>
    <s v="__module.features.6/aten::_convolution/Convolution"/>
    <x v="2"/>
    <n v="10"/>
    <n v="32"/>
    <n v="32"/>
    <n v="32"/>
    <n v="22"/>
    <n v="19"/>
    <n v="8"/>
    <x v="0"/>
    <n v="32"/>
    <n v="0.83979999999999999"/>
    <n v="65536"/>
    <n v="6688"/>
    <n v="0.89790000000000003"/>
    <n v="47"/>
    <n v="40.200000000000003"/>
    <b v="1"/>
    <n v="0.67142857099999997"/>
    <n v="105"/>
    <n v="94"/>
    <n v="47"/>
    <n v="9.9608510638297876"/>
    <n v="97.606808510638302"/>
    <n v="0.67416863062582999"/>
    <n v="3517.5480508842406"/>
    <n v="1.9202857142857142"/>
  </r>
  <r>
    <s v="alexnet"/>
    <s v="__module.features.6/aten::_convolution/Convolution"/>
    <x v="2"/>
    <n v="11"/>
    <n v="32"/>
    <n v="32"/>
    <n v="32"/>
    <n v="22"/>
    <n v="20"/>
    <n v="8"/>
    <x v="0"/>
    <n v="32"/>
    <n v="0.83589999999999998"/>
    <n v="65536"/>
    <n v="7040"/>
    <n v="0.89259999999999995"/>
    <n v="48"/>
    <n v="60.1"/>
    <b v="1"/>
    <n v="0.68571428599999995"/>
    <n v="106"/>
    <n v="94"/>
    <n v="46"/>
    <n v="10.266666666666667"/>
    <n v="95.573333333333338"/>
    <n v="0.66012345082112533"/>
    <n v="3444.2657998241525"/>
    <n v="1.9611428571428571"/>
  </r>
  <r>
    <s v="alexnet"/>
    <s v="__module.features.6/aten::_convolution/Convolution"/>
    <x v="2"/>
    <n v="12"/>
    <n v="32"/>
    <n v="32"/>
    <n v="32"/>
    <n v="22"/>
    <n v="13"/>
    <n v="8"/>
    <x v="0"/>
    <n v="32"/>
    <n v="0.86329999999999996"/>
    <n v="65536"/>
    <n v="4576"/>
    <n v="0.93020000000000003"/>
    <n v="41"/>
    <n v="48.5"/>
    <b v="1"/>
    <n v="0.58571428599999997"/>
    <n v="107"/>
    <n v="94"/>
    <n v="53"/>
    <n v="7.812682926829269"/>
    <n v="111.89073170731709"/>
    <n v="0.77282745461985403"/>
    <n v="4032.3111802819349"/>
    <n v="1.6751428571428573"/>
  </r>
  <r>
    <s v="alexnet"/>
    <s v="__module.features.6/aten::_convolution/Convolution"/>
    <x v="2"/>
    <n v="13"/>
    <n v="32"/>
    <n v="32"/>
    <n v="32"/>
    <n v="28"/>
    <n v="16"/>
    <n v="9"/>
    <x v="0"/>
    <n v="32"/>
    <n v="0.80659999999999998"/>
    <n v="65536"/>
    <n v="8064"/>
    <n v="0.877"/>
    <n v="51"/>
    <n v="37.700000000000003"/>
    <b v="1"/>
    <n v="0.72857142900000005"/>
    <n v="108"/>
    <n v="94"/>
    <n v="43"/>
    <n v="11.068235294117649"/>
    <n v="89.951372549019609"/>
    <n v="0.62129265959635316"/>
    <n v="3241.6619292462606"/>
    <n v="2.0837142857142856"/>
  </r>
  <r>
    <s v="alexnet"/>
    <s v="__module.features.6/aten::_convolution/Convolution"/>
    <x v="2"/>
    <n v="14"/>
    <n v="32"/>
    <n v="32"/>
    <n v="32"/>
    <n v="28"/>
    <n v="17"/>
    <n v="9"/>
    <x v="0"/>
    <n v="32"/>
    <n v="0.80220000000000002"/>
    <n v="65536"/>
    <n v="8568"/>
    <n v="0.86929999999999996"/>
    <n v="52"/>
    <n v="72.099999999999994"/>
    <b v="1"/>
    <n v="0.74285714300000005"/>
    <n v="109"/>
    <n v="94"/>
    <n v="42"/>
    <n v="11.533846153846156"/>
    <n v="88.221538461538472"/>
    <n v="0.60934472383488492"/>
    <n v="3179.3222767607558"/>
    <n v="2.1245714285714286"/>
  </r>
  <r>
    <s v="alexnet"/>
    <s v="__module.features.6/aten::_convolution/Convolution"/>
    <x v="2"/>
    <n v="15"/>
    <n v="32"/>
    <n v="32"/>
    <n v="32"/>
    <n v="28"/>
    <n v="17"/>
    <n v="9"/>
    <x v="0"/>
    <n v="32"/>
    <n v="0.80220000000000002"/>
    <n v="65536"/>
    <n v="8568"/>
    <n v="0.86929999999999996"/>
    <n v="52"/>
    <n v="39.299999999999997"/>
    <b v="1"/>
    <n v="0.74285714300000005"/>
    <n v="110"/>
    <n v="94"/>
    <n v="42"/>
    <n v="11.533846153846156"/>
    <n v="88.221538461538472"/>
    <n v="0.60934472383488492"/>
    <n v="3179.3222767607558"/>
    <n v="2.1245714285714286"/>
  </r>
  <r>
    <s v="alexnet"/>
    <s v="__module.features.6/aten::_convolution/Convolution"/>
    <x v="2"/>
    <n v="16"/>
    <n v="32"/>
    <n v="32"/>
    <n v="32"/>
    <n v="28"/>
    <n v="15"/>
    <n v="9"/>
    <x v="0"/>
    <n v="32"/>
    <n v="0.81100000000000005"/>
    <n v="65536"/>
    <n v="7560"/>
    <n v="0.88460000000000005"/>
    <n v="50"/>
    <n v="52.9"/>
    <b v="1"/>
    <n v="0.71428571399999996"/>
    <n v="111"/>
    <n v="94"/>
    <n v="44"/>
    <n v="10.584"/>
    <n v="91.750400000000013"/>
    <n v="0.63371851278828029"/>
    <n v="3306.4951678311863"/>
    <n v="2.0428571428571427"/>
  </r>
  <r>
    <s v="alexnet"/>
    <s v="__module.features.6/aten::_convolution/Convolution"/>
    <x v="2"/>
    <n v="17"/>
    <n v="32"/>
    <n v="32"/>
    <n v="32"/>
    <n v="28"/>
    <n v="18"/>
    <n v="9"/>
    <x v="0"/>
    <n v="32"/>
    <n v="0.79790000000000005"/>
    <n v="65536"/>
    <n v="9072"/>
    <n v="0.86160000000000003"/>
    <n v="53"/>
    <n v="70.099999999999994"/>
    <b v="1"/>
    <n v="0.75714285699999995"/>
    <n v="112"/>
    <n v="94"/>
    <n v="41"/>
    <n v="11.981886792452832"/>
    <n v="86.556981132075478"/>
    <n v="0.59784765357384928"/>
    <n v="3119.3350639916853"/>
    <n v="2.1654285714285715"/>
  </r>
  <r>
    <s v="alexnet"/>
    <s v="__module.features.6/aten::_convolution/Convolution"/>
    <x v="2"/>
    <n v="18"/>
    <n v="32"/>
    <n v="32"/>
    <n v="32"/>
    <n v="28"/>
    <n v="18"/>
    <n v="9"/>
    <x v="0"/>
    <n v="32"/>
    <n v="0.79790000000000005"/>
    <n v="65536"/>
    <n v="9072"/>
    <n v="0.86160000000000003"/>
    <n v="53"/>
    <n v="121.2"/>
    <b v="1"/>
    <n v="0.75714285699999995"/>
    <n v="113"/>
    <n v="94"/>
    <n v="41"/>
    <n v="11.981886792452832"/>
    <n v="86.556981132075478"/>
    <n v="0.59784765357384928"/>
    <n v="3119.3350639916853"/>
    <n v="2.1654285714285715"/>
  </r>
  <r>
    <s v="alexnet"/>
    <s v="__module.features.6/aten::_convolution/Convolution"/>
    <x v="2"/>
    <n v="19"/>
    <n v="32"/>
    <n v="32"/>
    <n v="32"/>
    <n v="28"/>
    <n v="20"/>
    <n v="9"/>
    <x v="0"/>
    <n v="32"/>
    <n v="0.78910000000000002"/>
    <n v="65536"/>
    <n v="10080"/>
    <n v="0.84619999999999995"/>
    <n v="55"/>
    <n v="48.5"/>
    <b v="1"/>
    <n v="0.78571428600000004"/>
    <n v="114"/>
    <n v="94"/>
    <n v="39"/>
    <n v="12.82909090909091"/>
    <n v="83.409454545454551"/>
    <n v="0.57610773889843669"/>
    <n v="3005.904698028351"/>
    <n v="2.2471428571428569"/>
  </r>
  <r>
    <s v="alexnet"/>
    <s v="__module.features.6/aten::_convolution/Convolution"/>
    <x v="2"/>
    <n v="20"/>
    <n v="32"/>
    <n v="32"/>
    <n v="32"/>
    <n v="28"/>
    <n v="21"/>
    <n v="9"/>
    <x v="0"/>
    <n v="32"/>
    <n v="0.78469999999999995"/>
    <n v="65536"/>
    <n v="10584"/>
    <n v="0.83850000000000002"/>
    <n v="56"/>
    <n v="49"/>
    <b v="1"/>
    <n v="0.8"/>
    <n v="115"/>
    <n v="94"/>
    <n v="38"/>
    <n v="13.23"/>
    <n v="81.92"/>
    <n v="0.56582010070382172"/>
    <n v="2952.2278284207018"/>
    <n v="2.2879999999999998"/>
  </r>
  <r>
    <s v="alexnet"/>
    <s v="__module.features.6/aten::_convolution/Convolution"/>
    <x v="2"/>
    <n v="21"/>
    <n v="32"/>
    <n v="32"/>
    <n v="32"/>
    <n v="28"/>
    <n v="17"/>
    <n v="9"/>
    <x v="0"/>
    <n v="32"/>
    <n v="0.80220000000000002"/>
    <n v="65536"/>
    <n v="8568"/>
    <n v="0.86929999999999996"/>
    <n v="52"/>
    <n v="107.5"/>
    <b v="1"/>
    <n v="0.74285714300000005"/>
    <n v="116"/>
    <n v="94"/>
    <n v="42"/>
    <n v="11.533846153846156"/>
    <n v="88.221538461538472"/>
    <n v="0.60934472383488492"/>
    <n v="3179.3222767607558"/>
    <n v="2.1245714285714286"/>
  </r>
  <r>
    <s v="alexnet"/>
    <s v="__module.features.6/aten::_convolution/Convolution"/>
    <x v="2"/>
    <n v="22"/>
    <n v="32"/>
    <n v="32"/>
    <n v="32"/>
    <n v="28"/>
    <n v="19"/>
    <n v="9"/>
    <x v="0"/>
    <n v="32"/>
    <n v="0.79349999999999998"/>
    <n v="65536"/>
    <n v="9576"/>
    <n v="0.85389999999999999"/>
    <n v="54"/>
    <n v="111.4"/>
    <b v="1"/>
    <n v="0.77142857099999995"/>
    <n v="117"/>
    <n v="94"/>
    <n v="40"/>
    <n v="12.413333333333336"/>
    <n v="84.954074074074072"/>
    <n v="0.58677640072988901"/>
    <n v="3061.5695998436909"/>
    <n v="2.2062857142857144"/>
  </r>
  <r>
    <s v="alexnet"/>
    <s v="__module.features.6/aten::_convolution/Convolution"/>
    <x v="2"/>
    <n v="23"/>
    <n v="32"/>
    <n v="32"/>
    <n v="32"/>
    <n v="28"/>
    <n v="20"/>
    <n v="9"/>
    <x v="0"/>
    <n v="32"/>
    <n v="0.78910000000000002"/>
    <n v="65536"/>
    <n v="10080"/>
    <n v="0.84619999999999995"/>
    <n v="55"/>
    <n v="123.8"/>
    <b v="1"/>
    <n v="0.78571428600000004"/>
    <n v="118"/>
    <n v="94"/>
    <n v="39"/>
    <n v="12.82909090909091"/>
    <n v="83.409454545454551"/>
    <n v="0.57610773889843669"/>
    <n v="3005.904698028351"/>
    <n v="2.2471428571428569"/>
  </r>
  <r>
    <s v="alexnet"/>
    <s v="__module.features.6/aten::_convolution/Convolution"/>
    <x v="2"/>
    <n v="24"/>
    <n v="32"/>
    <n v="32"/>
    <n v="32"/>
    <n v="28"/>
    <n v="13"/>
    <n v="9"/>
    <x v="0"/>
    <n v="32"/>
    <n v="0.81979999999999997"/>
    <n v="65536"/>
    <n v="6552"/>
    <n v="0.9"/>
    <n v="48"/>
    <n v="66.599999999999994"/>
    <b v="1"/>
    <n v="0.68571428599999995"/>
    <n v="119"/>
    <n v="94"/>
    <n v="46"/>
    <n v="9.5550000000000015"/>
    <n v="95.573333333333338"/>
    <n v="0.66012345082112533"/>
    <n v="3444.2657998241525"/>
    <n v="1.9611428571428571"/>
  </r>
  <r>
    <s v="alexnet"/>
    <s v="__module.features.6/aten::_convolution/Convolution"/>
    <x v="2"/>
    <n v="25"/>
    <n v="32"/>
    <n v="32"/>
    <n v="32"/>
    <n v="18"/>
    <n v="16"/>
    <n v="9"/>
    <x v="0"/>
    <n v="32"/>
    <n v="0.85060000000000002"/>
    <n v="65536"/>
    <n v="5184"/>
    <n v="0.92090000000000005"/>
    <n v="41"/>
    <n v="47"/>
    <b v="1"/>
    <n v="0.58571428599999997"/>
    <n v="120"/>
    <n v="94"/>
    <n v="53"/>
    <n v="8.8507317073170739"/>
    <n v="111.89073170731709"/>
    <n v="0.77282745461985403"/>
    <n v="4032.3111802819349"/>
    <n v="1.6751428571428573"/>
  </r>
  <r>
    <s v="alexnet"/>
    <s v="__module.features.6/aten::_convolution/Convolution"/>
    <x v="2"/>
    <n v="26"/>
    <n v="32"/>
    <n v="32"/>
    <n v="32"/>
    <n v="18"/>
    <n v="17"/>
    <n v="9"/>
    <x v="0"/>
    <n v="32"/>
    <n v="0.84619999999999995"/>
    <n v="65536"/>
    <n v="5508"/>
    <n v="0.91600000000000004"/>
    <n v="42"/>
    <n v="60.9"/>
    <b v="1"/>
    <n v="0.6"/>
    <n v="121"/>
    <n v="94"/>
    <n v="52"/>
    <n v="9.18"/>
    <n v="109.22666666666667"/>
    <n v="0.75442680093842884"/>
    <n v="3936.3037712276032"/>
    <n v="1.716"/>
  </r>
  <r>
    <s v="alexnet"/>
    <s v="__module.features.6/aten::_convolution/Convolution"/>
    <x v="2"/>
    <n v="27"/>
    <n v="32"/>
    <n v="32"/>
    <n v="32"/>
    <n v="18"/>
    <n v="17"/>
    <n v="9"/>
    <x v="0"/>
    <n v="32"/>
    <n v="0.84619999999999995"/>
    <n v="65536"/>
    <n v="5508"/>
    <n v="0.91600000000000004"/>
    <n v="42"/>
    <n v="180.7"/>
    <b v="1"/>
    <n v="0.6"/>
    <n v="122"/>
    <n v="94"/>
    <n v="52"/>
    <n v="9.18"/>
    <n v="109.22666666666667"/>
    <n v="0.75442680093842884"/>
    <n v="3936.3037712276032"/>
    <n v="1.716"/>
  </r>
  <r>
    <s v="alexnet"/>
    <s v="__module.features.6/aten::_convolution/Convolution"/>
    <x v="2"/>
    <n v="28"/>
    <n v="32"/>
    <n v="32"/>
    <n v="32"/>
    <n v="18"/>
    <n v="15"/>
    <n v="9"/>
    <x v="0"/>
    <n v="32"/>
    <n v="0.85499999999999998"/>
    <n v="65536"/>
    <n v="4860"/>
    <n v="0.92579999999999996"/>
    <n v="40"/>
    <n v="176.3"/>
    <b v="1"/>
    <n v="0.571428571"/>
    <n v="123"/>
    <n v="94"/>
    <n v="54"/>
    <n v="8.5050000000000008"/>
    <n v="114.68800000000002"/>
    <n v="0.79214814098535036"/>
    <n v="4133.1189597889834"/>
    <n v="1.6342857142857141"/>
  </r>
  <r>
    <s v="alexnet"/>
    <s v="__module.features.6/aten::_convolution/Convolution"/>
    <x v="2"/>
    <n v="29"/>
    <n v="32"/>
    <n v="32"/>
    <n v="32"/>
    <n v="18"/>
    <n v="18"/>
    <n v="9"/>
    <x v="0"/>
    <n v="32"/>
    <n v="0.84179999999999999"/>
    <n v="65536"/>
    <n v="5832"/>
    <n v="0.91100000000000003"/>
    <n v="43"/>
    <n v="60.4"/>
    <b v="1"/>
    <n v="0.61428571399999998"/>
    <n v="124"/>
    <n v="94"/>
    <n v="51"/>
    <n v="9.4939534883720942"/>
    <n v="106.68651162790698"/>
    <n v="0.73688199161427936"/>
    <n v="3844.7618230595185"/>
    <n v="1.7568571428571429"/>
  </r>
  <r>
    <s v="alexnet"/>
    <s v="__module.features.6/aten::_convolution/Convolution"/>
    <x v="2"/>
    <n v="30"/>
    <n v="32"/>
    <n v="32"/>
    <n v="32"/>
    <n v="18"/>
    <n v="18"/>
    <n v="9"/>
    <x v="0"/>
    <n v="32"/>
    <n v="0.84179999999999999"/>
    <n v="65536"/>
    <n v="5832"/>
    <n v="0.91100000000000003"/>
    <n v="43"/>
    <n v="50.2"/>
    <b v="1"/>
    <n v="0.61428571399999998"/>
    <n v="125"/>
    <n v="94"/>
    <n v="51"/>
    <n v="9.4939534883720942"/>
    <n v="106.68651162790698"/>
    <n v="0.73688199161427936"/>
    <n v="3844.7618230595185"/>
    <n v="1.7568571428571429"/>
  </r>
  <r>
    <s v="alexnet"/>
    <s v="__module.features.6/aten::_convolution/Convolution"/>
    <x v="2"/>
    <n v="31"/>
    <n v="32"/>
    <n v="32"/>
    <n v="32"/>
    <n v="18"/>
    <n v="20"/>
    <n v="9"/>
    <x v="0"/>
    <n v="32"/>
    <n v="0.83299999999999996"/>
    <n v="65536"/>
    <n v="6480"/>
    <n v="0.90110000000000001"/>
    <n v="45"/>
    <n v="45.1"/>
    <b v="1"/>
    <n v="0.64285714299999996"/>
    <n v="126"/>
    <n v="94"/>
    <n v="49"/>
    <n v="10.080000000000002"/>
    <n v="101.9448888888889"/>
    <n v="0.70413168087586697"/>
    <n v="3673.8835198124293"/>
    <n v="1.8385714285714287"/>
  </r>
  <r>
    <s v="alexnet"/>
    <s v="__module.features.6/aten::_convolution/Convolution"/>
    <x v="2"/>
    <n v="32"/>
    <n v="32"/>
    <n v="32"/>
    <n v="32"/>
    <n v="18"/>
    <n v="21"/>
    <n v="9"/>
    <x v="0"/>
    <n v="32"/>
    <n v="0.8286"/>
    <n v="65536"/>
    <n v="6804"/>
    <n v="0.8962"/>
    <n v="46"/>
    <n v="41.2"/>
    <b v="1"/>
    <n v="0.65714285699999997"/>
    <n v="127"/>
    <n v="94"/>
    <n v="48"/>
    <n v="10.353913043478261"/>
    <n v="99.728695652173926"/>
    <n v="0.68882447042204387"/>
    <n v="3594.0164867730291"/>
    <n v="1.8794285714285712"/>
  </r>
  <r>
    <s v="alexnet"/>
    <s v="__module.features.6/aten::_convolution/Convolution"/>
    <x v="2"/>
    <n v="33"/>
    <n v="32"/>
    <n v="32"/>
    <n v="32"/>
    <n v="18"/>
    <n v="17"/>
    <n v="9"/>
    <x v="0"/>
    <n v="32"/>
    <n v="0.84619999999999995"/>
    <n v="65536"/>
    <n v="5508"/>
    <n v="0.91600000000000004"/>
    <n v="42"/>
    <n v="144.4"/>
    <b v="1"/>
    <n v="0.6"/>
    <n v="128"/>
    <n v="94"/>
    <n v="52"/>
    <n v="9.18"/>
    <n v="109.22666666666667"/>
    <n v="0.75442680093842884"/>
    <n v="3936.3037712276032"/>
    <n v="1.716"/>
  </r>
  <r>
    <s v="alexnet"/>
    <s v="__module.features.6/aten::_convolution/Convolution"/>
    <x v="2"/>
    <n v="34"/>
    <n v="32"/>
    <n v="32"/>
    <n v="32"/>
    <n v="18"/>
    <n v="19"/>
    <n v="9"/>
    <x v="0"/>
    <n v="32"/>
    <n v="0.83740000000000003"/>
    <n v="65536"/>
    <n v="6156"/>
    <n v="0.90610000000000002"/>
    <n v="44"/>
    <n v="39.700000000000003"/>
    <b v="1"/>
    <n v="0.62857142899999996"/>
    <n v="129"/>
    <n v="94"/>
    <n v="50"/>
    <n v="9.7936363636363648"/>
    <n v="104.2618181818182"/>
    <n v="0.72013467362304584"/>
    <n v="3757.3808725354393"/>
    <n v="1.7977142857142858"/>
  </r>
  <r>
    <s v="alexnet"/>
    <s v="__module.features.6/aten::_convolution/Convolution"/>
    <x v="2"/>
    <n v="35"/>
    <n v="32"/>
    <n v="32"/>
    <n v="32"/>
    <n v="18"/>
    <n v="20"/>
    <n v="9"/>
    <x v="0"/>
    <n v="32"/>
    <n v="0.83299999999999996"/>
    <n v="65536"/>
    <n v="6480"/>
    <n v="0.90110000000000001"/>
    <n v="45"/>
    <n v="60.1"/>
    <b v="1"/>
    <n v="0.64285714299999996"/>
    <n v="130"/>
    <n v="94"/>
    <n v="49"/>
    <n v="10.080000000000002"/>
    <n v="101.9448888888889"/>
    <n v="0.70413168087586697"/>
    <n v="3673.8835198124293"/>
    <n v="1.8385714285714287"/>
  </r>
  <r>
    <s v="alexnet"/>
    <s v="__module.features.6/aten::_convolution/Convolution"/>
    <x v="2"/>
    <n v="36"/>
    <n v="32"/>
    <n v="32"/>
    <n v="32"/>
    <n v="18"/>
    <n v="13"/>
    <n v="9"/>
    <x v="0"/>
    <n v="32"/>
    <n v="0.86380000000000001"/>
    <n v="65536"/>
    <n v="4212"/>
    <n v="0.93569999999999998"/>
    <n v="38"/>
    <n v="162.19999999999999"/>
    <b v="1"/>
    <n v="0.54285714299999999"/>
    <n v="131"/>
    <n v="94"/>
    <n v="56"/>
    <n v="7.7589473684210528"/>
    <n v="120.7242105263158"/>
    <n v="0.83384014840563192"/>
    <n v="4350.6515366199819"/>
    <n v="1.5525714285714285"/>
  </r>
  <r>
    <s v="alexnet"/>
    <s v="__module.features.6/aten::_convolution/Convolution"/>
    <x v="2"/>
    <n v="37"/>
    <n v="32"/>
    <n v="32"/>
    <n v="32"/>
    <n v="10"/>
    <n v="16"/>
    <n v="6"/>
    <x v="1"/>
    <n v="16"/>
    <n v="0.92379999999999995"/>
    <n v="65536"/>
    <n v="1920"/>
    <n v="0.97070000000000001"/>
    <n v="30"/>
    <n v="70.8"/>
    <b v="1"/>
    <n v="0.428571429"/>
    <n v="132"/>
    <n v="94"/>
    <n v="64"/>
    <n v="4.4800000000000004"/>
    <n v="152.91733333333335"/>
    <n v="20.073160059508183"/>
    <n v="30658.215565733244"/>
    <n v="0.94714285714285706"/>
  </r>
  <r>
    <s v="alexnet"/>
    <s v="__module.features.6/aten::_convolution/Convolution"/>
    <x v="2"/>
    <n v="38"/>
    <n v="32"/>
    <n v="32"/>
    <n v="32"/>
    <n v="10"/>
    <n v="17"/>
    <n v="6"/>
    <x v="0"/>
    <n v="32"/>
    <n v="0.92090000000000005"/>
    <n v="65536"/>
    <n v="2040"/>
    <n v="0.96889999999999998"/>
    <n v="31"/>
    <n v="48.8"/>
    <b v="1"/>
    <n v="0.44285714300000001"/>
    <n v="133"/>
    <n v="94"/>
    <n v="63"/>
    <n v="4.6064516129032267"/>
    <n v="147.98451612903227"/>
    <n v="1.0221266335294843"/>
    <n v="5333.0567223083654"/>
    <n v="1.2665714285714285"/>
  </r>
  <r>
    <s v="alexnet"/>
    <s v="__module.features.6/aten::_convolution/Convolution"/>
    <x v="2"/>
    <n v="39"/>
    <n v="32"/>
    <n v="32"/>
    <n v="32"/>
    <n v="10"/>
    <n v="17"/>
    <n v="6"/>
    <x v="0"/>
    <n v="32"/>
    <n v="0.92090000000000005"/>
    <n v="65536"/>
    <n v="2040"/>
    <n v="0.96889999999999998"/>
    <n v="31"/>
    <n v="48.2"/>
    <b v="1"/>
    <n v="0.44285714300000001"/>
    <n v="134"/>
    <n v="94"/>
    <n v="63"/>
    <n v="4.6064516129032267"/>
    <n v="147.98451612903227"/>
    <n v="1.0221266335294843"/>
    <n v="5333.0567223083654"/>
    <n v="1.2665714285714285"/>
  </r>
  <r>
    <s v="alexnet"/>
    <s v="__module.features.6/aten::_convolution/Convolution"/>
    <x v="2"/>
    <n v="40"/>
    <n v="32"/>
    <n v="32"/>
    <n v="32"/>
    <n v="10"/>
    <n v="15"/>
    <n v="6"/>
    <x v="1"/>
    <n v="16"/>
    <n v="0.92679999999999996"/>
    <n v="65536"/>
    <n v="1800"/>
    <n v="0.97250000000000003"/>
    <n v="29"/>
    <n v="48.6"/>
    <b v="1"/>
    <n v="0.41428571400000003"/>
    <n v="135"/>
    <n v="94"/>
    <n v="65"/>
    <n v="4.3448275862068968"/>
    <n v="158.19034482758622"/>
    <n v="20.76533799259467"/>
    <n v="31715.395412827493"/>
    <n v="0.9155714285714287"/>
  </r>
  <r>
    <s v="alexnet"/>
    <s v="__module.features.6/aten::_convolution/Convolution"/>
    <x v="2"/>
    <n v="41"/>
    <n v="32"/>
    <n v="32"/>
    <n v="32"/>
    <n v="10"/>
    <n v="18"/>
    <n v="6"/>
    <x v="0"/>
    <n v="32"/>
    <n v="0.91800000000000004"/>
    <n v="65536"/>
    <n v="2160"/>
    <n v="0.96699999999999997"/>
    <n v="32"/>
    <n v="57.2"/>
    <b v="1"/>
    <n v="0.45714285700000001"/>
    <n v="136"/>
    <n v="94"/>
    <n v="62"/>
    <n v="4.7250000000000005"/>
    <n v="143.36000000000001"/>
    <n v="0.99018517623168789"/>
    <n v="5166.398699736229"/>
    <n v="1.3074285714285714"/>
  </r>
  <r>
    <s v="alexnet"/>
    <s v="__module.features.6/aten::_convolution/Convolution"/>
    <x v="2"/>
    <n v="42"/>
    <n v="32"/>
    <n v="32"/>
    <n v="32"/>
    <n v="10"/>
    <n v="18"/>
    <n v="6"/>
    <x v="0"/>
    <n v="32"/>
    <n v="0.91800000000000004"/>
    <n v="65536"/>
    <n v="2160"/>
    <n v="0.96699999999999997"/>
    <n v="32"/>
    <n v="39.6"/>
    <b v="1"/>
    <n v="0.45714285700000001"/>
    <n v="137"/>
    <n v="94"/>
    <n v="62"/>
    <n v="4.7250000000000005"/>
    <n v="143.36000000000001"/>
    <n v="0.99018517623168789"/>
    <n v="5166.398699736229"/>
    <n v="1.3074285714285714"/>
  </r>
  <r>
    <s v="alexnet"/>
    <s v="__module.features.6/aten::_convolution/Convolution"/>
    <x v="2"/>
    <n v="43"/>
    <n v="32"/>
    <n v="32"/>
    <n v="32"/>
    <n v="10"/>
    <n v="20"/>
    <n v="6"/>
    <x v="0"/>
    <n v="32"/>
    <n v="0.91210000000000002"/>
    <n v="65536"/>
    <n v="2400"/>
    <n v="0.96340000000000003"/>
    <n v="34"/>
    <n v="220.4"/>
    <b v="1"/>
    <n v="0.485714286"/>
    <n v="138"/>
    <n v="94"/>
    <n v="60"/>
    <n v="4.9411764705882364"/>
    <n v="134.92705882352942"/>
    <n v="0.93193898939452979"/>
    <n v="4862.492893869392"/>
    <n v="1.389142857142857"/>
  </r>
  <r>
    <s v="alexnet"/>
    <s v="__module.features.6/aten::_convolution/Convolution"/>
    <x v="2"/>
    <n v="44"/>
    <n v="32"/>
    <n v="32"/>
    <n v="32"/>
    <n v="10"/>
    <n v="21"/>
    <n v="6"/>
    <x v="0"/>
    <n v="32"/>
    <n v="0.90920000000000001"/>
    <n v="65536"/>
    <n v="2520"/>
    <n v="0.96150000000000002"/>
    <n v="35"/>
    <n v="86.2"/>
    <b v="1"/>
    <n v="0.5"/>
    <n v="139"/>
    <n v="94"/>
    <n v="59"/>
    <n v="5.0400000000000009"/>
    <n v="131.072"/>
    <n v="0.90531216112611468"/>
    <n v="4723.5645254731235"/>
    <n v="1.43"/>
  </r>
  <r>
    <s v="alexnet"/>
    <s v="__module.features.6/aten::_convolution/Convolution"/>
    <x v="2"/>
    <n v="45"/>
    <n v="32"/>
    <n v="32"/>
    <n v="32"/>
    <n v="10"/>
    <n v="17"/>
    <n v="6"/>
    <x v="0"/>
    <n v="32"/>
    <n v="0.92090000000000005"/>
    <n v="65536"/>
    <n v="2040"/>
    <n v="0.96889999999999998"/>
    <n v="31"/>
    <n v="45.9"/>
    <b v="1"/>
    <n v="0.44285714300000001"/>
    <n v="140"/>
    <n v="94"/>
    <n v="63"/>
    <n v="4.6064516129032267"/>
    <n v="147.98451612903227"/>
    <n v="1.0221266335294843"/>
    <n v="5333.0567223083654"/>
    <n v="1.2665714285714285"/>
  </r>
  <r>
    <s v="alexnet"/>
    <s v="__module.features.6/aten::_convolution/Convolution"/>
    <x v="2"/>
    <n v="46"/>
    <n v="32"/>
    <n v="32"/>
    <n v="32"/>
    <n v="10"/>
    <n v="19"/>
    <n v="6"/>
    <x v="0"/>
    <n v="32"/>
    <n v="0.91500000000000004"/>
    <n v="65536"/>
    <n v="2280"/>
    <n v="0.96519999999999995"/>
    <n v="33"/>
    <n v="40.1"/>
    <b v="1"/>
    <n v="0.47142857100000002"/>
    <n v="141"/>
    <n v="94"/>
    <n v="61"/>
    <n v="4.8363636363636369"/>
    <n v="139.01575757575759"/>
    <n v="0.96017956483072764"/>
    <n v="5009.8411633805854"/>
    <n v="1.3482857142857143"/>
  </r>
  <r>
    <s v="alexnet"/>
    <s v="__module.features.6/aten::_convolution/Convolution"/>
    <x v="2"/>
    <n v="47"/>
    <n v="32"/>
    <n v="32"/>
    <n v="32"/>
    <n v="10"/>
    <n v="20"/>
    <n v="6"/>
    <x v="0"/>
    <n v="32"/>
    <n v="0.91210000000000002"/>
    <n v="65536"/>
    <n v="2400"/>
    <n v="0.96340000000000003"/>
    <n v="34"/>
    <n v="124.9"/>
    <b v="1"/>
    <n v="0.485714286"/>
    <n v="142"/>
    <n v="94"/>
    <n v="60"/>
    <n v="4.9411764705882364"/>
    <n v="134.92705882352942"/>
    <n v="0.93193898939452979"/>
    <n v="4862.492893869392"/>
    <n v="1.389142857142857"/>
  </r>
  <r>
    <s v="alexnet"/>
    <s v="__module.features.6/aten::_convolution/Convolution"/>
    <x v="2"/>
    <n v="48"/>
    <n v="32"/>
    <n v="32"/>
    <n v="32"/>
    <n v="10"/>
    <n v="13"/>
    <n v="6"/>
    <x v="1"/>
    <n v="16"/>
    <n v="0.93259999999999998"/>
    <n v="65536"/>
    <n v="1560"/>
    <n v="0.97619999999999996"/>
    <n v="27"/>
    <n v="82.7"/>
    <b v="1"/>
    <n v="0.38571428600000002"/>
    <n v="143"/>
    <n v="94"/>
    <n v="67"/>
    <n v="4.0444444444444452"/>
    <n v="169.90814814814814"/>
    <n v="22.303511177231314"/>
    <n v="34064.683961925824"/>
    <n v="0.85242857142857142"/>
  </r>
  <r>
    <s v="alexnet"/>
    <s v="__module.features.6/aten::_convolution/Convolution"/>
    <x v="2"/>
    <n v="49"/>
    <n v="32"/>
    <n v="32"/>
    <n v="32"/>
    <n v="22"/>
    <n v="16"/>
    <n v="9"/>
    <x v="0"/>
    <n v="32"/>
    <n v="0.83299999999999996"/>
    <n v="65536"/>
    <n v="6336"/>
    <n v="0.90329999999999999"/>
    <n v="45"/>
    <n v="76.099999999999994"/>
    <b v="1"/>
    <n v="0.64285714299999996"/>
    <n v="144"/>
    <n v="94"/>
    <n v="49"/>
    <n v="9.8560000000000016"/>
    <n v="101.9448888888889"/>
    <n v="0.70413168087586697"/>
    <n v="3673.8835198124293"/>
    <n v="1.8385714285714287"/>
  </r>
  <r>
    <s v="alexnet"/>
    <s v="__module.features.6/aten::_convolution/Convolution"/>
    <x v="2"/>
    <n v="50"/>
    <n v="32"/>
    <n v="32"/>
    <n v="32"/>
    <n v="22"/>
    <n v="17"/>
    <n v="9"/>
    <x v="0"/>
    <n v="32"/>
    <n v="0.8286"/>
    <n v="65536"/>
    <n v="6732"/>
    <n v="0.89729999999999999"/>
    <n v="46"/>
    <n v="84.2"/>
    <b v="1"/>
    <n v="0.65714285699999997"/>
    <n v="145"/>
    <n v="94"/>
    <n v="48"/>
    <n v="10.244347826086958"/>
    <n v="99.728695652173926"/>
    <n v="0.68882447042204387"/>
    <n v="3594.0164867730291"/>
    <n v="1.8794285714285712"/>
  </r>
  <r>
    <s v="alexnet"/>
    <s v="__module.features.6/aten::_convolution/Convolution"/>
    <x v="2"/>
    <n v="51"/>
    <n v="32"/>
    <n v="32"/>
    <n v="32"/>
    <n v="22"/>
    <n v="17"/>
    <n v="9"/>
    <x v="0"/>
    <n v="32"/>
    <n v="0.8286"/>
    <n v="65536"/>
    <n v="6732"/>
    <n v="0.89729999999999999"/>
    <n v="46"/>
    <n v="49.8"/>
    <b v="1"/>
    <n v="0.65714285699999997"/>
    <n v="146"/>
    <n v="94"/>
    <n v="48"/>
    <n v="10.244347826086958"/>
    <n v="99.728695652173926"/>
    <n v="0.68882447042204387"/>
    <n v="3594.0164867730291"/>
    <n v="1.8794285714285712"/>
  </r>
  <r>
    <s v="alexnet"/>
    <s v="__module.features.6/aten::_convolution/Convolution"/>
    <x v="2"/>
    <n v="52"/>
    <n v="32"/>
    <n v="32"/>
    <n v="32"/>
    <n v="22"/>
    <n v="15"/>
    <n v="9"/>
    <x v="0"/>
    <n v="32"/>
    <n v="0.83740000000000003"/>
    <n v="65536"/>
    <n v="5940"/>
    <n v="0.90939999999999999"/>
    <n v="44"/>
    <n v="48.9"/>
    <b v="1"/>
    <n v="0.62857142899999996"/>
    <n v="147"/>
    <n v="94"/>
    <n v="50"/>
    <n v="9.4500000000000011"/>
    <n v="104.2618181818182"/>
    <n v="0.72013467362304584"/>
    <n v="3757.3808725354393"/>
    <n v="1.7977142857142858"/>
  </r>
  <r>
    <s v="alexnet"/>
    <s v="__module.features.6/aten::_convolution/Convolution"/>
    <x v="2"/>
    <n v="53"/>
    <n v="32"/>
    <n v="32"/>
    <n v="32"/>
    <n v="22"/>
    <n v="18"/>
    <n v="9"/>
    <x v="0"/>
    <n v="32"/>
    <n v="0.82420000000000004"/>
    <n v="65536"/>
    <n v="7128"/>
    <n v="0.89119999999999999"/>
    <n v="47"/>
    <n v="63.7"/>
    <b v="1"/>
    <n v="0.67142857099999997"/>
    <n v="148"/>
    <n v="94"/>
    <n v="47"/>
    <n v="10.616170212765958"/>
    <n v="97.606808510638302"/>
    <n v="0.67416863062582999"/>
    <n v="3517.5480508842406"/>
    <n v="1.9202857142857142"/>
  </r>
  <r>
    <s v="alexnet"/>
    <s v="__module.features.6/aten::_convolution/Convolution"/>
    <x v="2"/>
    <n v="54"/>
    <n v="32"/>
    <n v="32"/>
    <n v="32"/>
    <n v="22"/>
    <n v="18"/>
    <n v="9"/>
    <x v="0"/>
    <n v="32"/>
    <n v="0.82420000000000004"/>
    <n v="65536"/>
    <n v="7128"/>
    <n v="0.89119999999999999"/>
    <n v="47"/>
    <n v="38.799999999999997"/>
    <b v="1"/>
    <n v="0.67142857099999997"/>
    <n v="149"/>
    <n v="94"/>
    <n v="47"/>
    <n v="10.616170212765958"/>
    <n v="97.606808510638302"/>
    <n v="0.67416863062582999"/>
    <n v="3517.5480508842406"/>
    <n v="1.9202857142857142"/>
  </r>
  <r>
    <s v="alexnet"/>
    <s v="__module.features.6/aten::_convolution/Convolution"/>
    <x v="2"/>
    <n v="55"/>
    <n v="32"/>
    <n v="32"/>
    <n v="32"/>
    <n v="22"/>
    <n v="20"/>
    <n v="9"/>
    <x v="0"/>
    <n v="32"/>
    <n v="0.81540000000000001"/>
    <n v="65536"/>
    <n v="7920"/>
    <n v="0.87919999999999998"/>
    <n v="49"/>
    <n v="198.7"/>
    <b v="1"/>
    <n v="0.7"/>
    <n v="150"/>
    <n v="94"/>
    <n v="45"/>
    <n v="11.314285714285715"/>
    <n v="93.622857142857143"/>
    <n v="0.64665154366151045"/>
    <n v="3373.9746610522307"/>
    <n v="2.0019999999999998"/>
  </r>
  <r>
    <s v="alexnet"/>
    <s v="__module.features.6/aten::_convolution/Convolution"/>
    <x v="2"/>
    <n v="56"/>
    <n v="32"/>
    <n v="32"/>
    <n v="32"/>
    <n v="22"/>
    <n v="21"/>
    <n v="9"/>
    <x v="0"/>
    <n v="32"/>
    <n v="0.81100000000000005"/>
    <n v="65536"/>
    <n v="8316"/>
    <n v="0.87309999999999999"/>
    <n v="50"/>
    <n v="39.6"/>
    <b v="1"/>
    <n v="0.71428571399999996"/>
    <n v="151"/>
    <n v="94"/>
    <n v="44"/>
    <n v="11.6424"/>
    <n v="91.750400000000013"/>
    <n v="0.63371851278828029"/>
    <n v="3306.4951678311863"/>
    <n v="2.0428571428571427"/>
  </r>
  <r>
    <s v="alexnet"/>
    <s v="__module.features.6/aten::_convolution/Convolution"/>
    <x v="2"/>
    <n v="57"/>
    <n v="32"/>
    <n v="32"/>
    <n v="32"/>
    <n v="22"/>
    <n v="17"/>
    <n v="9"/>
    <x v="0"/>
    <n v="32"/>
    <n v="0.8286"/>
    <n v="65536"/>
    <n v="6732"/>
    <n v="0.89729999999999999"/>
    <n v="46"/>
    <n v="49.6"/>
    <b v="1"/>
    <n v="0.65714285699999997"/>
    <n v="152"/>
    <n v="94"/>
    <n v="48"/>
    <n v="10.244347826086958"/>
    <n v="99.728695652173926"/>
    <n v="0.68882447042204387"/>
    <n v="3594.0164867730291"/>
    <n v="1.8794285714285712"/>
  </r>
  <r>
    <s v="alexnet"/>
    <s v="__module.features.6/aten::_convolution/Convolution"/>
    <x v="2"/>
    <n v="58"/>
    <n v="32"/>
    <n v="32"/>
    <n v="32"/>
    <n v="22"/>
    <n v="19"/>
    <n v="9"/>
    <x v="0"/>
    <n v="32"/>
    <n v="0.81979999999999997"/>
    <n v="65536"/>
    <n v="7524"/>
    <n v="0.88519999999999999"/>
    <n v="48"/>
    <n v="45.3"/>
    <b v="1"/>
    <n v="0.68571428599999995"/>
    <n v="153"/>
    <n v="94"/>
    <n v="46"/>
    <n v="10.972500000000002"/>
    <n v="95.573333333333338"/>
    <n v="0.66012345082112533"/>
    <n v="3444.2657998241525"/>
    <n v="1.9611428571428571"/>
  </r>
  <r>
    <s v="alexnet"/>
    <s v="__module.features.6/aten::_convolution/Convolution"/>
    <x v="2"/>
    <n v="59"/>
    <n v="32"/>
    <n v="32"/>
    <n v="32"/>
    <n v="22"/>
    <n v="20"/>
    <n v="9"/>
    <x v="0"/>
    <n v="32"/>
    <n v="0.81540000000000001"/>
    <n v="65536"/>
    <n v="7920"/>
    <n v="0.87919999999999998"/>
    <n v="49"/>
    <n v="38.4"/>
    <b v="1"/>
    <n v="0.7"/>
    <n v="154"/>
    <n v="94"/>
    <n v="45"/>
    <n v="11.314285714285715"/>
    <n v="93.622857142857143"/>
    <n v="0.64665154366151045"/>
    <n v="3373.9746610522307"/>
    <n v="2.0019999999999998"/>
  </r>
  <r>
    <s v="alexnet"/>
    <s v="__module.features.6/aten::_convolution/Convolution"/>
    <x v="2"/>
    <n v="60"/>
    <n v="32"/>
    <n v="32"/>
    <n v="32"/>
    <n v="22"/>
    <n v="13"/>
    <n v="9"/>
    <x v="0"/>
    <n v="32"/>
    <n v="0.84619999999999995"/>
    <n v="65536"/>
    <n v="5148"/>
    <n v="0.9214"/>
    <n v="42"/>
    <n v="54.5"/>
    <b v="1"/>
    <n v="0.6"/>
    <n v="155"/>
    <n v="94"/>
    <n v="52"/>
    <n v="8.58"/>
    <n v="109.22666666666667"/>
    <n v="0.75442680093842884"/>
    <n v="3936.3037712276032"/>
    <n v="1.716"/>
  </r>
  <r>
    <s v="alexnet"/>
    <s v="__module.features.6/aten::_convolution/Convolution"/>
    <x v="2"/>
    <n v="61"/>
    <n v="9"/>
    <n v="32"/>
    <n v="32"/>
    <n v="9"/>
    <n v="16"/>
    <n v="3"/>
    <x v="1"/>
    <n v="16"/>
    <n v="0.94279999999999997"/>
    <n v="18432"/>
    <n v="864"/>
    <n v="0.95309999999999995"/>
    <n v="26"/>
    <n v="18.7"/>
    <b v="1"/>
    <n v="0.37142857099999999"/>
    <n v="156"/>
    <n v="71"/>
    <n v="45"/>
    <n v="2.3261538461538467"/>
    <n v="49.624615384615389"/>
    <n v="6.5141264616192425"/>
    <n v="9949.1805321490101"/>
    <n v="0.82085714285714284"/>
  </r>
  <r>
    <s v="alexnet"/>
    <s v="__module.features.6/aten::_convolution/Convolution"/>
    <x v="2"/>
    <n v="62"/>
    <n v="9"/>
    <n v="32"/>
    <n v="32"/>
    <n v="9"/>
    <n v="17"/>
    <n v="3"/>
    <x v="0"/>
    <n v="32"/>
    <n v="0.9405"/>
    <n v="18432"/>
    <n v="918"/>
    <n v="0.95020000000000004"/>
    <n v="27"/>
    <n v="19.7"/>
    <b v="1"/>
    <n v="0.38571428600000002"/>
    <n v="157"/>
    <n v="71"/>
    <n v="44"/>
    <n v="2.3800000000000003"/>
    <n v="47.786666666666669"/>
    <n v="0.33006172541056267"/>
    <n v="1722.1328999120763"/>
    <n v="1.1031428571428572"/>
  </r>
  <r>
    <s v="alexnet"/>
    <s v="__module.features.6/aten::_convolution/Convolution"/>
    <x v="2"/>
    <n v="63"/>
    <n v="9"/>
    <n v="32"/>
    <n v="32"/>
    <n v="9"/>
    <n v="17"/>
    <n v="3"/>
    <x v="0"/>
    <n v="32"/>
    <n v="0.9405"/>
    <n v="18432"/>
    <n v="918"/>
    <n v="0.95020000000000004"/>
    <n v="27"/>
    <n v="63.4"/>
    <b v="1"/>
    <n v="0.38571428600000002"/>
    <n v="158"/>
    <n v="71"/>
    <n v="44"/>
    <n v="2.3800000000000003"/>
    <n v="47.786666666666669"/>
    <n v="0.33006172541056267"/>
    <n v="1722.1328999120763"/>
    <n v="1.1031428571428572"/>
  </r>
  <r>
    <s v="alexnet"/>
    <s v="__module.features.6/aten::_convolution/Convolution"/>
    <x v="2"/>
    <n v="64"/>
    <n v="9"/>
    <n v="32"/>
    <n v="32"/>
    <n v="9"/>
    <n v="15"/>
    <n v="3"/>
    <x v="1"/>
    <n v="16"/>
    <n v="0.94510000000000005"/>
    <n v="18432"/>
    <n v="810"/>
    <n v="0.95609999999999995"/>
    <n v="25"/>
    <n v="19.899999999999999"/>
    <b v="1"/>
    <n v="0.35714285699999998"/>
    <n v="159"/>
    <n v="71"/>
    <n v="46"/>
    <n v="2.2680000000000002"/>
    <n v="51.6096"/>
    <n v="6.7746915200840121"/>
    <n v="10347.147753434969"/>
    <n v="0.78928571428571437"/>
  </r>
  <r>
    <s v="alexnet"/>
    <s v="__module.features.6/aten::_convolution/Convolution"/>
    <x v="2"/>
    <n v="65"/>
    <n v="9"/>
    <n v="32"/>
    <n v="32"/>
    <n v="9"/>
    <n v="18"/>
    <n v="3"/>
    <x v="0"/>
    <n v="32"/>
    <n v="0.93830000000000002"/>
    <n v="18432"/>
    <n v="972"/>
    <n v="0.94730000000000003"/>
    <n v="28"/>
    <n v="20.3"/>
    <b v="1"/>
    <n v="0.4"/>
    <n v="160"/>
    <n v="71"/>
    <n v="43"/>
    <n v="2.4300000000000002"/>
    <n v="46.080000000000005"/>
    <n v="0.31827380664589972"/>
    <n v="1660.628153486645"/>
    <n v="1.1439999999999999"/>
  </r>
  <r>
    <s v="alexnet"/>
    <s v="__module.features.6/aten::_convolution/Convolution"/>
    <x v="2"/>
    <n v="66"/>
    <n v="9"/>
    <n v="32"/>
    <n v="32"/>
    <n v="9"/>
    <n v="18"/>
    <n v="3"/>
    <x v="0"/>
    <n v="32"/>
    <n v="0.93830000000000002"/>
    <n v="18432"/>
    <n v="972"/>
    <n v="0.94730000000000003"/>
    <n v="28"/>
    <n v="19.899999999999999"/>
    <b v="1"/>
    <n v="0.4"/>
    <n v="161"/>
    <n v="71"/>
    <n v="43"/>
    <n v="2.4300000000000002"/>
    <n v="46.080000000000005"/>
    <n v="0.31827380664589972"/>
    <n v="1660.628153486645"/>
    <n v="1.1439999999999999"/>
  </r>
  <r>
    <s v="alexnet"/>
    <s v="__module.features.6/aten::_convolution/Convolution"/>
    <x v="2"/>
    <n v="67"/>
    <n v="9"/>
    <n v="32"/>
    <n v="32"/>
    <n v="9"/>
    <n v="20"/>
    <n v="3"/>
    <x v="0"/>
    <n v="32"/>
    <n v="0.93369999999999997"/>
    <n v="18432"/>
    <n v="1080"/>
    <n v="0.94140000000000001"/>
    <n v="30"/>
    <n v="70.099999999999994"/>
    <b v="1"/>
    <n v="0.428571429"/>
    <n v="162"/>
    <n v="71"/>
    <n v="41"/>
    <n v="2.5200000000000005"/>
    <n v="43.008000000000003"/>
    <n v="0.29705555286950636"/>
    <n v="1549.9196099208687"/>
    <n v="1.2257142857142855"/>
  </r>
  <r>
    <s v="alexnet"/>
    <s v="__module.features.6/aten::_convolution/Convolution"/>
    <x v="2"/>
    <n v="68"/>
    <n v="9"/>
    <n v="32"/>
    <n v="32"/>
    <n v="9"/>
    <n v="21"/>
    <n v="3"/>
    <x v="0"/>
    <n v="32"/>
    <n v="0.93140000000000001"/>
    <n v="18432"/>
    <n v="1134"/>
    <n v="0.9385"/>
    <n v="31"/>
    <n v="23.7"/>
    <b v="1"/>
    <n v="0.44285714300000001"/>
    <n v="163"/>
    <n v="71"/>
    <n v="40"/>
    <n v="2.5606451612903225"/>
    <n v="41.620645161290327"/>
    <n v="0.28747311568016748"/>
    <n v="1499.9222031492279"/>
    <n v="1.2665714285714285"/>
  </r>
  <r>
    <s v="alexnet"/>
    <s v="__module.features.6/aten::_convolution/Convolution"/>
    <x v="2"/>
    <n v="69"/>
    <n v="9"/>
    <n v="32"/>
    <n v="32"/>
    <n v="9"/>
    <n v="17"/>
    <n v="3"/>
    <x v="0"/>
    <n v="32"/>
    <n v="0.9405"/>
    <n v="18432"/>
    <n v="918"/>
    <n v="0.95020000000000004"/>
    <n v="27"/>
    <n v="21.4"/>
    <b v="1"/>
    <n v="0.38571428600000002"/>
    <n v="164"/>
    <n v="71"/>
    <n v="44"/>
    <n v="2.3800000000000003"/>
    <n v="47.786666666666669"/>
    <n v="0.33006172541056267"/>
    <n v="1722.1328999120763"/>
    <n v="1.1031428571428572"/>
  </r>
  <r>
    <s v="alexnet"/>
    <s v="__module.features.6/aten::_convolution/Convolution"/>
    <x v="2"/>
    <n v="70"/>
    <n v="9"/>
    <n v="32"/>
    <n v="32"/>
    <n v="9"/>
    <n v="19"/>
    <n v="3"/>
    <x v="0"/>
    <n v="32"/>
    <n v="0.93600000000000005"/>
    <n v="18432"/>
    <n v="1026"/>
    <n v="0.94430000000000003"/>
    <n v="29"/>
    <n v="46"/>
    <b v="1"/>
    <n v="0.41428571400000003"/>
    <n v="165"/>
    <n v="71"/>
    <n v="42"/>
    <n v="2.4765517241379311"/>
    <n v="44.491034482758629"/>
    <n v="0.30729884779604111"/>
    <n v="1603.3651137112436"/>
    <n v="1.1848571428571428"/>
  </r>
  <r>
    <s v="alexnet"/>
    <s v="__module.features.6/aten::_convolution/Convolution"/>
    <x v="2"/>
    <n v="71"/>
    <n v="9"/>
    <n v="32"/>
    <n v="32"/>
    <n v="9"/>
    <n v="20"/>
    <n v="3"/>
    <x v="0"/>
    <n v="32"/>
    <n v="0.93369999999999997"/>
    <n v="18432"/>
    <n v="1080"/>
    <n v="0.94140000000000001"/>
    <n v="30"/>
    <n v="44.7"/>
    <b v="1"/>
    <n v="0.428571429"/>
    <n v="166"/>
    <n v="71"/>
    <n v="41"/>
    <n v="2.5200000000000005"/>
    <n v="43.008000000000003"/>
    <n v="0.29705555286950636"/>
    <n v="1549.9196099208687"/>
    <n v="1.2257142857142855"/>
  </r>
  <r>
    <s v="alexnet"/>
    <s v="__module.features.6/aten::_convolution/Convolution"/>
    <x v="2"/>
    <n v="72"/>
    <n v="9"/>
    <n v="32"/>
    <n v="32"/>
    <n v="9"/>
    <n v="13"/>
    <n v="3"/>
    <x v="1"/>
    <n v="16"/>
    <n v="0.94969999999999999"/>
    <n v="18432"/>
    <n v="702"/>
    <n v="0.96189999999999998"/>
    <n v="23"/>
    <n v="36"/>
    <b v="1"/>
    <n v="0.32857142900000003"/>
    <n v="167"/>
    <n v="71"/>
    <n v="48"/>
    <n v="2.1365217391304347"/>
    <n v="56.09739130434783"/>
    <n v="7.3637951305260998"/>
    <n v="11246.899731994532"/>
    <n v="0.72614285714285709"/>
  </r>
  <r>
    <s v="alexnet"/>
    <s v="__module.features.3/aten::_convolution/Convolution"/>
    <x v="3"/>
    <n v="1"/>
    <n v="32"/>
    <n v="32"/>
    <n v="32"/>
    <n v="23"/>
    <n v="18"/>
    <n v="19"/>
    <x v="0"/>
    <n v="32"/>
    <n v="0.61960000000000004"/>
    <n v="65536"/>
    <n v="15732"/>
    <n v="0.75990000000000002"/>
    <n v="58"/>
    <n v="50.5"/>
    <b v="1"/>
    <n v="0.82857142900000003"/>
    <n v="168"/>
    <n v="94"/>
    <n v="36"/>
    <n v="18.98689655172414"/>
    <n v="79.095172413793108"/>
    <n v="0.54630906274851743"/>
    <n v="2850.4268688199882"/>
    <n v="2.3697142857142857"/>
  </r>
  <r>
    <s v="alexnet"/>
    <s v="__module.features.3/aten::_convolution/Convolution"/>
    <x v="3"/>
    <n v="2"/>
    <n v="32"/>
    <n v="32"/>
    <n v="32"/>
    <n v="23"/>
    <n v="18"/>
    <n v="19"/>
    <x v="0"/>
    <n v="32"/>
    <n v="0.61960000000000004"/>
    <n v="65536"/>
    <n v="15732"/>
    <n v="0.75990000000000002"/>
    <n v="58"/>
    <n v="57.6"/>
    <b v="1"/>
    <n v="0.82857142900000003"/>
    <n v="169"/>
    <n v="94"/>
    <n v="36"/>
    <n v="18.98689655172414"/>
    <n v="79.095172413793108"/>
    <n v="0.54630906274851743"/>
    <n v="2850.4268688199882"/>
    <n v="2.3697142857142857"/>
  </r>
  <r>
    <s v="alexnet"/>
    <s v="__module.features.3/aten::_convolution/Convolution"/>
    <x v="3"/>
    <n v="3"/>
    <n v="32"/>
    <n v="32"/>
    <n v="32"/>
    <n v="23"/>
    <n v="22"/>
    <n v="19"/>
    <x v="0"/>
    <n v="32"/>
    <n v="0.58250000000000002"/>
    <n v="65536"/>
    <n v="19228"/>
    <n v="0.70660000000000001"/>
    <n v="62"/>
    <n v="55.9"/>
    <b v="1"/>
    <n v="0.88571428600000002"/>
    <n v="170"/>
    <n v="94"/>
    <n v="32"/>
    <n v="21.709032258064518"/>
    <n v="73.992258064516136"/>
    <n v="0.51106331676474215"/>
    <n v="2666.5283611541827"/>
    <n v="2.5331428571428569"/>
  </r>
  <r>
    <s v="alexnet"/>
    <s v="__module.features.3/aten::_convolution/Convolution"/>
    <x v="3"/>
    <n v="4"/>
    <n v="32"/>
    <n v="32"/>
    <n v="32"/>
    <n v="23"/>
    <n v="13"/>
    <n v="19"/>
    <x v="0"/>
    <n v="32"/>
    <n v="0.66600000000000004"/>
    <n v="65536"/>
    <n v="11362"/>
    <n v="0.8266"/>
    <n v="53"/>
    <n v="40.799999999999997"/>
    <b v="1"/>
    <n v="0.75714285699999995"/>
    <n v="171"/>
    <n v="94"/>
    <n v="41"/>
    <n v="15.006415094339623"/>
    <n v="86.556981132075478"/>
    <n v="0.59784765357384928"/>
    <n v="3119.3350639916853"/>
    <n v="2.1654285714285715"/>
  </r>
  <r>
    <s v="alexnet"/>
    <s v="__module.features.3/aten::_convolution/Convolution"/>
    <x v="3"/>
    <n v="5"/>
    <n v="32"/>
    <n v="32"/>
    <n v="32"/>
    <n v="23"/>
    <n v="18"/>
    <n v="19"/>
    <x v="0"/>
    <n v="32"/>
    <n v="0.61960000000000004"/>
    <n v="65536"/>
    <n v="15732"/>
    <n v="0.75990000000000002"/>
    <n v="58"/>
    <n v="88.4"/>
    <b v="1"/>
    <n v="0.82857142900000003"/>
    <n v="172"/>
    <n v="94"/>
    <n v="36"/>
    <n v="18.98689655172414"/>
    <n v="79.095172413793108"/>
    <n v="0.54630906274851743"/>
    <n v="2850.4268688199882"/>
    <n v="2.3697142857142857"/>
  </r>
  <r>
    <s v="alexnet"/>
    <s v="__module.features.3/aten::_convolution/Convolution"/>
    <x v="3"/>
    <n v="6"/>
    <n v="32"/>
    <n v="32"/>
    <n v="32"/>
    <n v="23"/>
    <n v="17"/>
    <n v="19"/>
    <x v="0"/>
    <n v="32"/>
    <n v="0.62890000000000001"/>
    <n v="65536"/>
    <n v="14858"/>
    <n v="0.77329999999999999"/>
    <n v="57"/>
    <n v="180"/>
    <b v="1"/>
    <n v="0.81428571400000005"/>
    <n v="173"/>
    <n v="94"/>
    <n v="37"/>
    <n v="18.24666666666667"/>
    <n v="80.482807017543863"/>
    <n v="0.55589343227042132"/>
    <n v="2900.4343577466548"/>
    <n v="2.3288571428571427"/>
  </r>
  <r>
    <s v="alexnet"/>
    <s v="__module.features.3/aten::_convolution/Convolution"/>
    <x v="3"/>
    <n v="7"/>
    <n v="32"/>
    <n v="32"/>
    <n v="32"/>
    <n v="28"/>
    <n v="18"/>
    <n v="25"/>
    <x v="0"/>
    <n v="32"/>
    <n v="0.4385"/>
    <n v="65536"/>
    <n v="25200"/>
    <n v="0.61550000000000005"/>
    <n v="69"/>
    <n v="84"/>
    <b v="1"/>
    <n v="0.985714286"/>
    <n v="174"/>
    <n v="94"/>
    <n v="25"/>
    <n v="25.565217391304348"/>
    <n v="66.485797101449279"/>
    <n v="0.45921631361469584"/>
    <n v="2396.0109911820191"/>
    <n v="2.8191428571428574"/>
  </r>
  <r>
    <s v="alexnet"/>
    <s v="__module.features.3/aten::_convolution/Convolution"/>
    <x v="3"/>
    <n v="8"/>
    <n v="32"/>
    <n v="32"/>
    <n v="32"/>
    <n v="28"/>
    <n v="18"/>
    <n v="25"/>
    <x v="0"/>
    <n v="32"/>
    <n v="0.4385"/>
    <n v="65536"/>
    <n v="25200"/>
    <n v="0.61550000000000005"/>
    <n v="69"/>
    <n v="48.7"/>
    <b v="1"/>
    <n v="0.985714286"/>
    <n v="175"/>
    <n v="94"/>
    <n v="25"/>
    <n v="25.565217391304348"/>
    <n v="66.485797101449279"/>
    <n v="0.45921631361469584"/>
    <n v="2396.0109911820191"/>
    <n v="2.8191428571428574"/>
  </r>
  <r>
    <s v="alexnet"/>
    <s v="__module.features.3/aten::_convolution/Convolution"/>
    <x v="3"/>
    <n v="9"/>
    <n v="32"/>
    <n v="32"/>
    <n v="32"/>
    <n v="28"/>
    <n v="22"/>
    <n v="25"/>
    <x v="0"/>
    <n v="32"/>
    <n v="0.3896"/>
    <n v="65536"/>
    <n v="30800"/>
    <n v="0.53"/>
    <n v="73"/>
    <n v="45.2"/>
    <b v="1"/>
    <n v="1.042857143"/>
    <n v="176"/>
    <n v="94"/>
    <n v="21"/>
    <n v="29.534246575342468"/>
    <n v="62.842739726027396"/>
    <n v="0.43405377588238375"/>
    <n v="2264.7227176925931"/>
    <n v="2.9825714285714291"/>
  </r>
  <r>
    <s v="alexnet"/>
    <s v="__module.features.3/aten::_convolution/Convolution"/>
    <x v="3"/>
    <n v="10"/>
    <n v="32"/>
    <n v="32"/>
    <n v="32"/>
    <n v="28"/>
    <n v="13"/>
    <n v="25"/>
    <x v="0"/>
    <n v="32"/>
    <n v="0.4995"/>
    <n v="65536"/>
    <n v="18200"/>
    <n v="0.72230000000000005"/>
    <n v="64"/>
    <n v="105.6"/>
    <b v="1"/>
    <n v="0.91428571400000003"/>
    <n v="177"/>
    <n v="94"/>
    <n v="30"/>
    <n v="19.906250000000004"/>
    <n v="71.680000000000007"/>
    <n v="0.49509258811584395"/>
    <n v="2583.1993498681145"/>
    <n v="2.6148571428571428"/>
  </r>
  <r>
    <s v="alexnet"/>
    <s v="__module.features.3/aten::_convolution/Convolution"/>
    <x v="3"/>
    <n v="11"/>
    <n v="32"/>
    <n v="32"/>
    <n v="32"/>
    <n v="28"/>
    <n v="18"/>
    <n v="25"/>
    <x v="0"/>
    <n v="32"/>
    <n v="0.4385"/>
    <n v="65536"/>
    <n v="25200"/>
    <n v="0.61550000000000005"/>
    <n v="69"/>
    <n v="67.099999999999994"/>
    <b v="1"/>
    <n v="0.985714286"/>
    <n v="178"/>
    <n v="94"/>
    <n v="25"/>
    <n v="25.565217391304348"/>
    <n v="66.485797101449279"/>
    <n v="0.45921631361469584"/>
    <n v="2396.0109911820191"/>
    <n v="2.8191428571428574"/>
  </r>
  <r>
    <s v="alexnet"/>
    <s v="__module.features.3/aten::_convolution/Convolution"/>
    <x v="3"/>
    <n v="12"/>
    <n v="32"/>
    <n v="32"/>
    <n v="32"/>
    <n v="28"/>
    <n v="17"/>
    <n v="25"/>
    <x v="0"/>
    <n v="32"/>
    <n v="0.45069999999999999"/>
    <n v="65536"/>
    <n v="23800"/>
    <n v="0.63680000000000003"/>
    <n v="68"/>
    <n v="52.7"/>
    <b v="1"/>
    <n v="0.97142857100000002"/>
    <n v="179"/>
    <n v="94"/>
    <n v="26"/>
    <n v="24.500000000000004"/>
    <n v="67.463529411764711"/>
    <n v="0.4659694946972649"/>
    <n v="2431.246446934696"/>
    <n v="2.778285714285714"/>
  </r>
  <r>
    <s v="alexnet"/>
    <s v="__module.features.3/aten::_convolution/Convolution"/>
    <x v="3"/>
    <n v="13"/>
    <n v="32"/>
    <n v="32"/>
    <n v="32"/>
    <n v="31"/>
    <n v="18"/>
    <n v="20"/>
    <x v="0"/>
    <n v="32"/>
    <n v="0.52149999999999996"/>
    <n v="65536"/>
    <n v="22320"/>
    <n v="0.65939999999999999"/>
    <n v="67"/>
    <n v="53.3"/>
    <b v="1"/>
    <n v="0.95714285700000001"/>
    <n v="180"/>
    <n v="94"/>
    <n v="27"/>
    <n v="23.319402985074628"/>
    <n v="68.470447761194038"/>
    <n v="0.47292426327483605"/>
    <n v="2467.5337073367064"/>
    <n v="2.7374285714285715"/>
  </r>
  <r>
    <s v="alexnet"/>
    <s v="__module.features.3/aten::_convolution/Convolution"/>
    <x v="3"/>
    <n v="14"/>
    <n v="32"/>
    <n v="32"/>
    <n v="32"/>
    <n v="31"/>
    <n v="18"/>
    <n v="20"/>
    <x v="0"/>
    <n v="32"/>
    <n v="0.52149999999999996"/>
    <n v="65536"/>
    <n v="22320"/>
    <n v="0.65939999999999999"/>
    <n v="67"/>
    <n v="48.6"/>
    <b v="1"/>
    <n v="0.95714285700000001"/>
    <n v="181"/>
    <n v="94"/>
    <n v="27"/>
    <n v="23.319402985074628"/>
    <n v="68.470447761194038"/>
    <n v="0.47292426327483605"/>
    <n v="2467.5337073367064"/>
    <n v="2.7374285714285715"/>
  </r>
  <r>
    <s v="alexnet"/>
    <s v="__module.features.3/aten::_convolution/Convolution"/>
    <x v="3"/>
    <n v="15"/>
    <n v="32"/>
    <n v="32"/>
    <n v="32"/>
    <n v="31"/>
    <n v="22"/>
    <n v="20"/>
    <x v="0"/>
    <n v="32"/>
    <n v="0.4824"/>
    <n v="65536"/>
    <n v="27280"/>
    <n v="0.5837"/>
    <n v="71"/>
    <n v="42.8"/>
    <b v="1"/>
    <n v="1.0142857139999999"/>
    <n v="182"/>
    <n v="94"/>
    <n v="23"/>
    <n v="26.895774647887325"/>
    <n v="64.612957746478884"/>
    <n v="0.4462806428086481"/>
    <n v="2328.5177238247798"/>
    <n v="2.9008571428571428"/>
  </r>
  <r>
    <s v="alexnet"/>
    <s v="__module.features.3/aten::_convolution/Convolution"/>
    <x v="3"/>
    <n v="16"/>
    <n v="32"/>
    <n v="32"/>
    <n v="32"/>
    <n v="31"/>
    <n v="13"/>
    <n v="20"/>
    <x v="0"/>
    <n v="32"/>
    <n v="0.57030000000000003"/>
    <n v="65536"/>
    <n v="16120"/>
    <n v="0.754"/>
    <n v="62"/>
    <n v="47.9"/>
    <b v="1"/>
    <n v="0.88571428600000002"/>
    <n v="183"/>
    <n v="94"/>
    <n v="32"/>
    <n v="18.200000000000003"/>
    <n v="73.992258064516136"/>
    <n v="0.51106331676474215"/>
    <n v="2666.5283611541827"/>
    <n v="2.5331428571428569"/>
  </r>
  <r>
    <s v="alexnet"/>
    <s v="__module.features.3/aten::_convolution/Convolution"/>
    <x v="3"/>
    <n v="17"/>
    <n v="32"/>
    <n v="32"/>
    <n v="32"/>
    <n v="31"/>
    <n v="18"/>
    <n v="20"/>
    <x v="0"/>
    <n v="32"/>
    <n v="0.52149999999999996"/>
    <n v="65536"/>
    <n v="22320"/>
    <n v="0.65939999999999999"/>
    <n v="67"/>
    <n v="339.7"/>
    <b v="1"/>
    <n v="0.95714285700000001"/>
    <n v="184"/>
    <n v="94"/>
    <n v="27"/>
    <n v="23.319402985074628"/>
    <n v="68.470447761194038"/>
    <n v="0.47292426327483605"/>
    <n v="2467.5337073367064"/>
    <n v="2.7374285714285715"/>
  </r>
  <r>
    <s v="alexnet"/>
    <s v="__module.features.3/aten::_convolution/Convolution"/>
    <x v="3"/>
    <n v="18"/>
    <n v="32"/>
    <n v="32"/>
    <n v="32"/>
    <n v="31"/>
    <n v="17"/>
    <n v="20"/>
    <x v="0"/>
    <n v="32"/>
    <n v="0.53120000000000001"/>
    <n v="65536"/>
    <n v="21080"/>
    <n v="0.67830000000000001"/>
    <n v="66"/>
    <n v="125.5"/>
    <b v="1"/>
    <n v="0.94285714300000001"/>
    <n v="185"/>
    <n v="94"/>
    <n v="28"/>
    <n v="22.357575757575759"/>
    <n v="69.507878787878795"/>
    <n v="0.48008978241536382"/>
    <n v="2504.9205816902927"/>
    <n v="2.6965714285714286"/>
  </r>
  <r>
    <s v="alexnet"/>
    <s v="__module.features.3/aten::_convolution/Convolution"/>
    <x v="3"/>
    <n v="19"/>
    <n v="32"/>
    <n v="32"/>
    <n v="32"/>
    <n v="29"/>
    <n v="18"/>
    <n v="15"/>
    <x v="0"/>
    <n v="32"/>
    <n v="0.65580000000000005"/>
    <n v="65536"/>
    <n v="15660"/>
    <n v="0.76100000000000001"/>
    <n v="60"/>
    <n v="174.7"/>
    <b v="1"/>
    <n v="0.85714285700000004"/>
    <n v="186"/>
    <n v="94"/>
    <n v="34"/>
    <n v="18.270000000000003"/>
    <n v="76.458666666666673"/>
    <n v="0.52809876065690031"/>
    <n v="2755.4126398593216"/>
    <n v="2.4514285714285711"/>
  </r>
  <r>
    <s v="alexnet"/>
    <s v="__module.features.3/aten::_convolution/Convolution"/>
    <x v="3"/>
    <n v="20"/>
    <n v="32"/>
    <n v="32"/>
    <n v="32"/>
    <n v="29"/>
    <n v="18"/>
    <n v="15"/>
    <x v="0"/>
    <n v="32"/>
    <n v="0.65580000000000005"/>
    <n v="65536"/>
    <n v="15660"/>
    <n v="0.76100000000000001"/>
    <n v="60"/>
    <n v="49.5"/>
    <b v="1"/>
    <n v="0.85714285700000004"/>
    <n v="187"/>
    <n v="94"/>
    <n v="34"/>
    <n v="18.270000000000003"/>
    <n v="76.458666666666673"/>
    <n v="0.52809876065690031"/>
    <n v="2755.4126398593216"/>
    <n v="2.4514285714285711"/>
  </r>
  <r>
    <s v="alexnet"/>
    <s v="__module.features.3/aten::_convolution/Convolution"/>
    <x v="3"/>
    <n v="21"/>
    <n v="32"/>
    <n v="32"/>
    <n v="32"/>
    <n v="29"/>
    <n v="22"/>
    <n v="15"/>
    <x v="0"/>
    <n v="32"/>
    <n v="0.62649999999999995"/>
    <n v="65536"/>
    <n v="19140"/>
    <n v="0.70789999999999997"/>
    <n v="64"/>
    <n v="49"/>
    <b v="1"/>
    <n v="0.91428571400000003"/>
    <n v="188"/>
    <n v="94"/>
    <n v="30"/>
    <n v="20.934375000000003"/>
    <n v="71.680000000000007"/>
    <n v="0.49509258811584395"/>
    <n v="2583.1993498681145"/>
    <n v="2.6148571428571428"/>
  </r>
  <r>
    <s v="alexnet"/>
    <s v="__module.features.3/aten::_convolution/Convolution"/>
    <x v="3"/>
    <n v="22"/>
    <n v="32"/>
    <n v="32"/>
    <n v="32"/>
    <n v="29"/>
    <n v="13"/>
    <n v="15"/>
    <x v="0"/>
    <n v="32"/>
    <n v="0.69240000000000002"/>
    <n v="65536"/>
    <n v="11310"/>
    <n v="0.82740000000000002"/>
    <n v="55"/>
    <n v="99.9"/>
    <b v="1"/>
    <n v="0.78571428600000004"/>
    <n v="189"/>
    <n v="94"/>
    <n v="39"/>
    <n v="14.394545454545455"/>
    <n v="83.409454545454551"/>
    <n v="0.57610773889843669"/>
    <n v="3005.904698028351"/>
    <n v="2.2471428571428569"/>
  </r>
  <r>
    <s v="alexnet"/>
    <s v="__module.features.3/aten::_convolution/Convolution"/>
    <x v="3"/>
    <n v="23"/>
    <n v="32"/>
    <n v="32"/>
    <n v="32"/>
    <n v="29"/>
    <n v="18"/>
    <n v="15"/>
    <x v="0"/>
    <n v="32"/>
    <n v="0.65580000000000005"/>
    <n v="65536"/>
    <n v="15660"/>
    <n v="0.76100000000000001"/>
    <n v="60"/>
    <n v="176.7"/>
    <b v="1"/>
    <n v="0.85714285700000004"/>
    <n v="190"/>
    <n v="94"/>
    <n v="34"/>
    <n v="18.270000000000003"/>
    <n v="76.458666666666673"/>
    <n v="0.52809876065690031"/>
    <n v="2755.4126398593216"/>
    <n v="2.4514285714285711"/>
  </r>
  <r>
    <s v="alexnet"/>
    <s v="__module.features.3/aten::_convolution/Convolution"/>
    <x v="3"/>
    <n v="24"/>
    <n v="32"/>
    <n v="32"/>
    <n v="32"/>
    <n v="29"/>
    <n v="17"/>
    <n v="15"/>
    <x v="0"/>
    <n v="32"/>
    <n v="0.66310000000000002"/>
    <n v="65536"/>
    <n v="14790"/>
    <n v="0.77429999999999999"/>
    <n v="59"/>
    <n v="48.2"/>
    <b v="1"/>
    <n v="0.84285714300000003"/>
    <n v="191"/>
    <n v="94"/>
    <n v="35"/>
    <n v="17.547457627118646"/>
    <n v="77.754576271186451"/>
    <n v="0.5370495871087122"/>
    <n v="2802.11454900948"/>
    <n v="2.4105714285714286"/>
  </r>
  <r>
    <s v="alexnet"/>
    <s v="__module.features.3/aten::_convolution/Convolution"/>
    <x v="3"/>
    <n v="25"/>
    <n v="32"/>
    <n v="32"/>
    <n v="32"/>
    <n v="29"/>
    <n v="18"/>
    <n v="14"/>
    <x v="0"/>
    <n v="32"/>
    <n v="0.67869999999999997"/>
    <n v="65536"/>
    <n v="14616"/>
    <n v="0.77700000000000002"/>
    <n v="59"/>
    <n v="49"/>
    <b v="1"/>
    <n v="0.84285714300000003"/>
    <n v="192"/>
    <n v="94"/>
    <n v="35"/>
    <n v="17.341016949152543"/>
    <n v="77.754576271186451"/>
    <n v="0.5370495871087122"/>
    <n v="2802.11454900948"/>
    <n v="2.4105714285714286"/>
  </r>
  <r>
    <s v="alexnet"/>
    <s v="__module.features.3/aten::_convolution/Convolution"/>
    <x v="3"/>
    <n v="26"/>
    <n v="32"/>
    <n v="32"/>
    <n v="32"/>
    <n v="29"/>
    <n v="18"/>
    <n v="14"/>
    <x v="0"/>
    <n v="32"/>
    <n v="0.67869999999999997"/>
    <n v="65536"/>
    <n v="14616"/>
    <n v="0.77700000000000002"/>
    <n v="59"/>
    <n v="49.3"/>
    <b v="1"/>
    <n v="0.84285714300000003"/>
    <n v="193"/>
    <n v="94"/>
    <n v="35"/>
    <n v="17.341016949152543"/>
    <n v="77.754576271186451"/>
    <n v="0.5370495871087122"/>
    <n v="2802.11454900948"/>
    <n v="2.4105714285714286"/>
  </r>
  <r>
    <s v="alexnet"/>
    <s v="__module.features.3/aten::_convolution/Convolution"/>
    <x v="3"/>
    <n v="27"/>
    <n v="32"/>
    <n v="32"/>
    <n v="32"/>
    <n v="29"/>
    <n v="22"/>
    <n v="14"/>
    <x v="0"/>
    <n v="32"/>
    <n v="0.65139999999999998"/>
    <n v="65536"/>
    <n v="17864"/>
    <n v="0.72740000000000005"/>
    <n v="63"/>
    <n v="47.6"/>
    <b v="1"/>
    <n v="0.9"/>
    <n v="194"/>
    <n v="94"/>
    <n v="31"/>
    <n v="19.84888888888889"/>
    <n v="72.817777777777778"/>
    <n v="0.50295120062561927"/>
    <n v="2624.2025141517352"/>
    <n v="2.5739999999999998"/>
  </r>
  <r>
    <s v="alexnet"/>
    <s v="__module.features.3/aten::_convolution/Convolution"/>
    <x v="3"/>
    <n v="28"/>
    <n v="32"/>
    <n v="32"/>
    <n v="32"/>
    <n v="29"/>
    <n v="13"/>
    <n v="14"/>
    <x v="0"/>
    <n v="32"/>
    <n v="0.71289999999999998"/>
    <n v="65536"/>
    <n v="10556"/>
    <n v="0.83889999999999998"/>
    <n v="54"/>
    <n v="48"/>
    <b v="1"/>
    <n v="0.77142857099999995"/>
    <n v="195"/>
    <n v="94"/>
    <n v="40"/>
    <n v="13.683703703703706"/>
    <n v="84.954074074074072"/>
    <n v="0.58677640072988901"/>
    <n v="3061.5695998436909"/>
    <n v="2.2062857142857144"/>
  </r>
  <r>
    <s v="alexnet"/>
    <s v="__module.features.3/aten::_convolution/Convolution"/>
    <x v="3"/>
    <n v="29"/>
    <n v="32"/>
    <n v="32"/>
    <n v="32"/>
    <n v="29"/>
    <n v="18"/>
    <n v="14"/>
    <x v="0"/>
    <n v="32"/>
    <n v="0.67869999999999997"/>
    <n v="65536"/>
    <n v="14616"/>
    <n v="0.77700000000000002"/>
    <n v="59"/>
    <n v="50.9"/>
    <b v="1"/>
    <n v="0.84285714300000003"/>
    <n v="196"/>
    <n v="94"/>
    <n v="35"/>
    <n v="17.341016949152543"/>
    <n v="77.754576271186451"/>
    <n v="0.5370495871087122"/>
    <n v="2802.11454900948"/>
    <n v="2.4105714285714286"/>
  </r>
  <r>
    <s v="alexnet"/>
    <s v="__module.features.3/aten::_convolution/Convolution"/>
    <x v="3"/>
    <n v="30"/>
    <n v="32"/>
    <n v="32"/>
    <n v="32"/>
    <n v="29"/>
    <n v="17"/>
    <n v="14"/>
    <x v="0"/>
    <n v="32"/>
    <n v="0.6855"/>
    <n v="65536"/>
    <n v="13804"/>
    <n v="0.78939999999999999"/>
    <n v="58"/>
    <n v="57.4"/>
    <b v="1"/>
    <n v="0.82857142900000003"/>
    <n v="197"/>
    <n v="94"/>
    <n v="36"/>
    <n v="16.66"/>
    <n v="79.095172413793108"/>
    <n v="0.54630906274851743"/>
    <n v="2850.4268688199882"/>
    <n v="2.3697142857142857"/>
  </r>
  <r>
    <s v="alexnet"/>
    <s v="__module.features.3/aten::_convolution/Convolution"/>
    <x v="3"/>
    <n v="31"/>
    <n v="32"/>
    <n v="32"/>
    <n v="32"/>
    <n v="32"/>
    <n v="18"/>
    <n v="18"/>
    <x v="0"/>
    <n v="32"/>
    <n v="0.5605"/>
    <n v="65536"/>
    <n v="20736"/>
    <n v="0.68359999999999999"/>
    <n v="66"/>
    <n v="38.4"/>
    <b v="1"/>
    <n v="0.94285714300000001"/>
    <n v="198"/>
    <n v="94"/>
    <n v="28"/>
    <n v="21.992727272727276"/>
    <n v="69.507878787878795"/>
    <n v="0.48008978241536382"/>
    <n v="2504.9205816902927"/>
    <n v="2.6965714285714286"/>
  </r>
  <r>
    <s v="alexnet"/>
    <s v="__module.features.3/aten::_convolution/Convolution"/>
    <x v="3"/>
    <n v="32"/>
    <n v="32"/>
    <n v="32"/>
    <n v="32"/>
    <n v="32"/>
    <n v="18"/>
    <n v="18"/>
    <x v="0"/>
    <n v="32"/>
    <n v="0.5605"/>
    <n v="65536"/>
    <n v="20736"/>
    <n v="0.68359999999999999"/>
    <n v="66"/>
    <n v="39.1"/>
    <b v="1"/>
    <n v="0.94285714300000001"/>
    <n v="199"/>
    <n v="94"/>
    <n v="28"/>
    <n v="21.992727272727276"/>
    <n v="69.507878787878795"/>
    <n v="0.48008978241536382"/>
    <n v="2504.9205816902927"/>
    <n v="2.6965714285714286"/>
  </r>
  <r>
    <s v="alexnet"/>
    <s v="__module.features.3/aten::_convolution/Convolution"/>
    <x v="3"/>
    <n v="33"/>
    <n v="32"/>
    <n v="32"/>
    <n v="32"/>
    <n v="32"/>
    <n v="22"/>
    <n v="18"/>
    <x v="0"/>
    <n v="32"/>
    <n v="0.52539999999999998"/>
    <n v="65536"/>
    <n v="25344"/>
    <n v="0.61329999999999996"/>
    <n v="70"/>
    <n v="49"/>
    <b v="1"/>
    <n v="1"/>
    <n v="200"/>
    <n v="94"/>
    <n v="24"/>
    <n v="25.344000000000005"/>
    <n v="65.536000000000001"/>
    <n v="0.45265608056305734"/>
    <n v="2361.7822627365617"/>
    <n v="2.86"/>
  </r>
  <r>
    <s v="alexnet"/>
    <s v="__module.features.3/aten::_convolution/Convolution"/>
    <x v="3"/>
    <n v="34"/>
    <n v="32"/>
    <n v="32"/>
    <n v="32"/>
    <n v="32"/>
    <n v="13"/>
    <n v="18"/>
    <x v="0"/>
    <n v="32"/>
    <n v="0.60450000000000004"/>
    <n v="65536"/>
    <n v="14976"/>
    <n v="0.77149999999999996"/>
    <n v="61"/>
    <n v="38.299999999999997"/>
    <b v="1"/>
    <n v="0.87142857100000004"/>
    <n v="201"/>
    <n v="94"/>
    <n v="33"/>
    <n v="17.185573770491803"/>
    <n v="75.205245901639358"/>
    <n v="0.51944140392481997"/>
    <n v="2710.2419408452347"/>
    <n v="2.4922857142857144"/>
  </r>
  <r>
    <s v="alexnet"/>
    <s v="__module.features.3/aten::_convolution/Convolution"/>
    <x v="3"/>
    <n v="35"/>
    <n v="32"/>
    <n v="32"/>
    <n v="32"/>
    <n v="32"/>
    <n v="18"/>
    <n v="18"/>
    <x v="0"/>
    <n v="32"/>
    <n v="0.5605"/>
    <n v="65536"/>
    <n v="20736"/>
    <n v="0.68359999999999999"/>
    <n v="66"/>
    <n v="48.4"/>
    <b v="1"/>
    <n v="0.94285714300000001"/>
    <n v="202"/>
    <n v="94"/>
    <n v="28"/>
    <n v="21.992727272727276"/>
    <n v="69.507878787878795"/>
    <n v="0.48008978241536382"/>
    <n v="2504.9205816902927"/>
    <n v="2.6965714285714286"/>
  </r>
  <r>
    <s v="alexnet"/>
    <s v="__module.features.3/aten::_convolution/Convolution"/>
    <x v="3"/>
    <n v="36"/>
    <n v="32"/>
    <n v="32"/>
    <n v="32"/>
    <n v="32"/>
    <n v="17"/>
    <n v="18"/>
    <x v="0"/>
    <n v="32"/>
    <n v="0.56930000000000003"/>
    <n v="65536"/>
    <n v="19584"/>
    <n v="0.70120000000000005"/>
    <n v="65"/>
    <n v="49"/>
    <b v="1"/>
    <n v="0.928571429"/>
    <n v="203"/>
    <n v="94"/>
    <n v="29"/>
    <n v="21.09046153846154"/>
    <n v="70.577230769230781"/>
    <n v="0.48747577906790795"/>
    <n v="2543.457821408605"/>
    <n v="2.6557142857142857"/>
  </r>
  <r>
    <s v="alexnet"/>
    <s v="__module.features.3/aten::_convolution/Convolution"/>
    <x v="3"/>
    <n v="37"/>
    <n v="32"/>
    <n v="32"/>
    <n v="32"/>
    <n v="31"/>
    <n v="18"/>
    <n v="23"/>
    <x v="0"/>
    <n v="32"/>
    <n v="0.44969999999999999"/>
    <n v="65536"/>
    <n v="25668"/>
    <n v="0.60829999999999995"/>
    <n v="70"/>
    <n v="49.1"/>
    <b v="1"/>
    <n v="1"/>
    <n v="204"/>
    <n v="94"/>
    <n v="24"/>
    <n v="25.668000000000003"/>
    <n v="65.536000000000001"/>
    <n v="0.45265608056305734"/>
    <n v="2361.7822627365617"/>
    <n v="2.86"/>
  </r>
  <r>
    <s v="alexnet"/>
    <s v="__module.features.3/aten::_convolution/Convolution"/>
    <x v="3"/>
    <n v="38"/>
    <n v="32"/>
    <n v="32"/>
    <n v="32"/>
    <n v="31"/>
    <n v="18"/>
    <n v="23"/>
    <x v="0"/>
    <n v="32"/>
    <n v="0.44969999999999999"/>
    <n v="65536"/>
    <n v="25668"/>
    <n v="0.60829999999999995"/>
    <n v="70"/>
    <n v="48.4"/>
    <b v="1"/>
    <n v="1"/>
    <n v="205"/>
    <n v="94"/>
    <n v="24"/>
    <n v="25.668000000000003"/>
    <n v="65.536000000000001"/>
    <n v="0.45265608056305734"/>
    <n v="2361.7822627365617"/>
    <n v="2.86"/>
  </r>
  <r>
    <s v="alexnet"/>
    <s v="__module.features.3/aten::_convolution/Convolution"/>
    <x v="3"/>
    <n v="39"/>
    <n v="32"/>
    <n v="32"/>
    <n v="32"/>
    <n v="31"/>
    <n v="22"/>
    <n v="23"/>
    <x v="0"/>
    <n v="32"/>
    <n v="0.40479999999999999"/>
    <n v="65536"/>
    <n v="31372"/>
    <n v="0.52129999999999999"/>
    <n v="74"/>
    <n v="39.9"/>
    <b v="1"/>
    <n v="1.0571428570000001"/>
    <n v="206"/>
    <n v="94"/>
    <n v="20"/>
    <n v="29.676216216216218"/>
    <n v="61.99351351351352"/>
    <n v="0.4281881843164056"/>
    <n v="2234.1183566426935"/>
    <n v="3.0234285714285716"/>
  </r>
  <r>
    <s v="alexnet"/>
    <s v="__module.features.3/aten::_convolution/Convolution"/>
    <x v="3"/>
    <n v="40"/>
    <n v="32"/>
    <n v="32"/>
    <n v="32"/>
    <n v="31"/>
    <n v="13"/>
    <n v="23"/>
    <x v="0"/>
    <n v="32"/>
    <n v="0.50590000000000002"/>
    <n v="65536"/>
    <n v="18538"/>
    <n v="0.71709999999999996"/>
    <n v="65"/>
    <n v="45.9"/>
    <b v="1"/>
    <n v="0.928571429"/>
    <n v="207"/>
    <n v="94"/>
    <n v="29"/>
    <n v="19.964000000000002"/>
    <n v="70.577230769230781"/>
    <n v="0.48747577906790795"/>
    <n v="2543.457821408605"/>
    <n v="2.6557142857142857"/>
  </r>
  <r>
    <s v="alexnet"/>
    <s v="__module.features.3/aten::_convolution/Convolution"/>
    <x v="3"/>
    <n v="41"/>
    <n v="32"/>
    <n v="32"/>
    <n v="32"/>
    <n v="31"/>
    <n v="18"/>
    <n v="23"/>
    <x v="0"/>
    <n v="32"/>
    <n v="0.44969999999999999"/>
    <n v="65536"/>
    <n v="25668"/>
    <n v="0.60829999999999995"/>
    <n v="70"/>
    <n v="49"/>
    <b v="1"/>
    <n v="1"/>
    <n v="208"/>
    <n v="94"/>
    <n v="24"/>
    <n v="25.668000000000003"/>
    <n v="65.536000000000001"/>
    <n v="0.45265608056305734"/>
    <n v="2361.7822627365617"/>
    <n v="2.86"/>
  </r>
  <r>
    <s v="alexnet"/>
    <s v="__module.features.3/aten::_convolution/Convolution"/>
    <x v="3"/>
    <n v="42"/>
    <n v="32"/>
    <n v="32"/>
    <n v="32"/>
    <n v="31"/>
    <n v="17"/>
    <n v="23"/>
    <x v="0"/>
    <n v="32"/>
    <n v="0.46089999999999998"/>
    <n v="65536"/>
    <n v="24242"/>
    <n v="0.63009999999999999"/>
    <n v="69"/>
    <n v="48.3"/>
    <b v="1"/>
    <n v="0.985714286"/>
    <n v="209"/>
    <n v="94"/>
    <n v="25"/>
    <n v="24.593333333333334"/>
    <n v="66.485797101449279"/>
    <n v="0.45921631361469584"/>
    <n v="2396.0109911820191"/>
    <n v="2.8191428571428574"/>
  </r>
  <r>
    <s v="alexnet"/>
    <s v="__module.features.3/aten::_convolution/Convolution"/>
    <x v="3"/>
    <n v="43"/>
    <n v="32"/>
    <n v="32"/>
    <n v="32"/>
    <n v="32"/>
    <n v="18"/>
    <n v="28"/>
    <x v="0"/>
    <n v="32"/>
    <n v="0.31640000000000001"/>
    <n v="65536"/>
    <n v="32256"/>
    <n v="0.50780000000000003"/>
    <n v="76"/>
    <n v="157.4"/>
    <b v="1"/>
    <n v="1.085714286"/>
    <n v="210"/>
    <n v="94"/>
    <n v="18"/>
    <n v="29.709473684210529"/>
    <n v="60.3621052631579"/>
    <n v="0.41692007420281596"/>
    <n v="2175.325768309991"/>
    <n v="3.105142857142857"/>
  </r>
  <r>
    <s v="alexnet"/>
    <s v="__module.features.3/aten::_convolution/Convolution"/>
    <x v="3"/>
    <n v="44"/>
    <n v="32"/>
    <n v="32"/>
    <n v="32"/>
    <n v="32"/>
    <n v="18"/>
    <n v="28"/>
    <x v="0"/>
    <n v="32"/>
    <n v="0.31640000000000001"/>
    <n v="65536"/>
    <n v="32256"/>
    <n v="0.50780000000000003"/>
    <n v="76"/>
    <n v="48.3"/>
    <b v="1"/>
    <n v="1.085714286"/>
    <n v="211"/>
    <n v="94"/>
    <n v="18"/>
    <n v="29.709473684210529"/>
    <n v="60.3621052631579"/>
    <n v="0.41692007420281596"/>
    <n v="2175.325768309991"/>
    <n v="3.105142857142857"/>
  </r>
  <r>
    <s v="alexnet"/>
    <s v="__module.features.3/aten::_convolution/Convolution"/>
    <x v="3"/>
    <n v="45"/>
    <n v="32"/>
    <n v="32"/>
    <n v="32"/>
    <n v="32"/>
    <n v="22"/>
    <n v="28"/>
    <x v="0"/>
    <n v="32"/>
    <n v="0.26169999999999999"/>
    <n v="65536"/>
    <n v="39424"/>
    <n v="0.39839999999999998"/>
    <n v="80"/>
    <n v="49.7"/>
    <b v="1"/>
    <n v="1.1428571430000001"/>
    <n v="212"/>
    <n v="94"/>
    <n v="14"/>
    <n v="34.496000000000002"/>
    <n v="57.344000000000008"/>
    <n v="0.39607407049267518"/>
    <n v="2066.5594798944917"/>
    <n v="3.2685714285714282"/>
  </r>
  <r>
    <s v="alexnet"/>
    <s v="__module.features.3/aten::_convolution/Convolution"/>
    <x v="3"/>
    <n v="46"/>
    <n v="32"/>
    <n v="32"/>
    <n v="32"/>
    <n v="32"/>
    <n v="13"/>
    <n v="28"/>
    <x v="0"/>
    <n v="32"/>
    <n v="0.38479999999999998"/>
    <n v="65536"/>
    <n v="23296"/>
    <n v="0.64449999999999996"/>
    <n v="71"/>
    <n v="54.4"/>
    <b v="1"/>
    <n v="1.0142857139999999"/>
    <n v="213"/>
    <n v="94"/>
    <n v="23"/>
    <n v="22.967887323943664"/>
    <n v="64.612957746478884"/>
    <n v="0.4462806428086481"/>
    <n v="2328.5177238247798"/>
    <n v="2.9008571428571428"/>
  </r>
  <r>
    <s v="alexnet"/>
    <s v="__module.features.3/aten::_convolution/Convolution"/>
    <x v="3"/>
    <n v="47"/>
    <n v="32"/>
    <n v="32"/>
    <n v="32"/>
    <n v="32"/>
    <n v="18"/>
    <n v="28"/>
    <x v="0"/>
    <n v="32"/>
    <n v="0.31640000000000001"/>
    <n v="65536"/>
    <n v="32256"/>
    <n v="0.50780000000000003"/>
    <n v="76"/>
    <n v="46"/>
    <b v="1"/>
    <n v="1.085714286"/>
    <n v="214"/>
    <n v="94"/>
    <n v="18"/>
    <n v="29.709473684210529"/>
    <n v="60.3621052631579"/>
    <n v="0.41692007420281596"/>
    <n v="2175.325768309991"/>
    <n v="3.105142857142857"/>
  </r>
  <r>
    <s v="alexnet"/>
    <s v="__module.features.3/aten::_convolution/Convolution"/>
    <x v="3"/>
    <n v="48"/>
    <n v="32"/>
    <n v="32"/>
    <n v="32"/>
    <n v="32"/>
    <n v="17"/>
    <n v="28"/>
    <x v="0"/>
    <n v="32"/>
    <n v="0.3301"/>
    <n v="65536"/>
    <n v="30464"/>
    <n v="0.53520000000000001"/>
    <n v="75"/>
    <n v="40"/>
    <b v="1"/>
    <n v="1.071428571"/>
    <n v="215"/>
    <n v="94"/>
    <n v="19"/>
    <n v="28.433066666666669"/>
    <n v="61.16693333333334"/>
    <n v="0.42247900852552023"/>
    <n v="2204.3301118874574"/>
    <n v="3.0642857142857141"/>
  </r>
  <r>
    <s v="alexnet"/>
    <s v="__module.features.3/aten::_convolution/Convolution"/>
    <x v="3"/>
    <n v="49"/>
    <n v="32"/>
    <n v="32"/>
    <n v="32"/>
    <n v="32"/>
    <n v="18"/>
    <n v="32"/>
    <x v="0"/>
    <n v="32"/>
    <n v="0.21879999999999999"/>
    <n v="65536"/>
    <n v="36864"/>
    <n v="0.4375"/>
    <n v="80"/>
    <n v="44.7"/>
    <b v="1"/>
    <n v="1.1428571430000001"/>
    <n v="216"/>
    <n v="94"/>
    <n v="14"/>
    <n v="32.256000000000007"/>
    <n v="57.344000000000008"/>
    <n v="0.39607407049267518"/>
    <n v="2066.5594798944917"/>
    <n v="3.2685714285714282"/>
  </r>
  <r>
    <s v="alexnet"/>
    <s v="__module.features.3/aten::_convolution/Convolution"/>
    <x v="3"/>
    <n v="50"/>
    <n v="32"/>
    <n v="32"/>
    <n v="32"/>
    <n v="32"/>
    <n v="18"/>
    <n v="32"/>
    <x v="0"/>
    <n v="32"/>
    <n v="0.21879999999999999"/>
    <n v="65536"/>
    <n v="36864"/>
    <n v="0.4375"/>
    <n v="80"/>
    <n v="45.4"/>
    <b v="1"/>
    <n v="1.1428571430000001"/>
    <n v="217"/>
    <n v="94"/>
    <n v="14"/>
    <n v="32.256000000000007"/>
    <n v="57.344000000000008"/>
    <n v="0.39607407049267518"/>
    <n v="2066.5594798944917"/>
    <n v="3.2685714285714282"/>
  </r>
  <r>
    <s v="alexnet"/>
    <s v="__module.features.3/aten::_convolution/Convolution"/>
    <x v="3"/>
    <n v="51"/>
    <n v="32"/>
    <n v="32"/>
    <n v="32"/>
    <n v="32"/>
    <n v="22"/>
    <n v="32"/>
    <x v="0"/>
    <n v="32"/>
    <n v="0.15620000000000001"/>
    <n v="65536"/>
    <n v="45056"/>
    <n v="0.3125"/>
    <n v="84"/>
    <n v="48.2"/>
    <b v="1"/>
    <n v="1.2"/>
    <n v="218"/>
    <n v="94"/>
    <n v="10"/>
    <n v="37.546666666666674"/>
    <n v="54.613333333333337"/>
    <n v="0.37721340046921442"/>
    <n v="1968.1518856138016"/>
    <n v="3.4319999999999999"/>
  </r>
  <r>
    <s v="alexnet"/>
    <s v="__module.features.3/aten::_convolution/Convolution"/>
    <x v="3"/>
    <n v="52"/>
    <n v="32"/>
    <n v="32"/>
    <n v="32"/>
    <n v="32"/>
    <n v="13"/>
    <n v="32"/>
    <x v="0"/>
    <n v="32"/>
    <n v="0.2969"/>
    <n v="65536"/>
    <n v="26624"/>
    <n v="0.59379999999999999"/>
    <n v="75"/>
    <n v="46.3"/>
    <b v="1"/>
    <n v="1.071428571"/>
    <n v="219"/>
    <n v="94"/>
    <n v="19"/>
    <n v="24.849066666666669"/>
    <n v="61.16693333333334"/>
    <n v="0.42247900852552023"/>
    <n v="2204.3301118874574"/>
    <n v="3.0642857142857141"/>
  </r>
  <r>
    <s v="alexnet"/>
    <s v="__module.features.3/aten::_convolution/Convolution"/>
    <x v="3"/>
    <n v="53"/>
    <n v="32"/>
    <n v="32"/>
    <n v="32"/>
    <n v="32"/>
    <n v="18"/>
    <n v="32"/>
    <x v="0"/>
    <n v="32"/>
    <n v="0.21879999999999999"/>
    <n v="65536"/>
    <n v="36864"/>
    <n v="0.4375"/>
    <n v="80"/>
    <n v="48.6"/>
    <b v="1"/>
    <n v="1.1428571430000001"/>
    <n v="220"/>
    <n v="94"/>
    <n v="14"/>
    <n v="32.256000000000007"/>
    <n v="57.344000000000008"/>
    <n v="0.39607407049267518"/>
    <n v="2066.5594798944917"/>
    <n v="3.2685714285714282"/>
  </r>
  <r>
    <s v="alexnet"/>
    <s v="__module.features.3/aten::_convolution/Convolution"/>
    <x v="3"/>
    <n v="54"/>
    <n v="32"/>
    <n v="32"/>
    <n v="32"/>
    <n v="32"/>
    <n v="17"/>
    <n v="32"/>
    <x v="0"/>
    <n v="32"/>
    <n v="0.2344"/>
    <n v="65536"/>
    <n v="34816"/>
    <n v="0.46879999999999999"/>
    <n v="79"/>
    <n v="50"/>
    <b v="1"/>
    <n v="1.128571429"/>
    <n v="221"/>
    <n v="94"/>
    <n v="15"/>
    <n v="30.849620253164563"/>
    <n v="58.069873417721524"/>
    <n v="0.4010876663216964"/>
    <n v="2092.7184606526494"/>
    <n v="3.2277142857142858"/>
  </r>
  <r>
    <s v="alexnet"/>
    <s v="__module.features.3/aten::_convolution/Convolution"/>
    <x v="3"/>
    <n v="55"/>
    <n v="32"/>
    <n v="32"/>
    <n v="32"/>
    <n v="28"/>
    <n v="18"/>
    <n v="27"/>
    <x v="0"/>
    <n v="32"/>
    <n v="0.39360000000000001"/>
    <n v="65536"/>
    <n v="27216"/>
    <n v="0.5847"/>
    <n v="71"/>
    <n v="83.3"/>
    <b v="1"/>
    <n v="1.0142857139999999"/>
    <n v="222"/>
    <n v="94"/>
    <n v="23"/>
    <n v="26.83267605633803"/>
    <n v="64.612957746478884"/>
    <n v="0.4462806428086481"/>
    <n v="2328.5177238247798"/>
    <n v="2.9008571428571428"/>
  </r>
  <r>
    <s v="alexnet"/>
    <s v="__module.features.3/aten::_convolution/Convolution"/>
    <x v="3"/>
    <n v="56"/>
    <n v="32"/>
    <n v="32"/>
    <n v="32"/>
    <n v="28"/>
    <n v="18"/>
    <n v="27"/>
    <x v="0"/>
    <n v="32"/>
    <n v="0.39360000000000001"/>
    <n v="65536"/>
    <n v="27216"/>
    <n v="0.5847"/>
    <n v="71"/>
    <n v="49.6"/>
    <b v="1"/>
    <n v="1.0142857139999999"/>
    <n v="223"/>
    <n v="94"/>
    <n v="23"/>
    <n v="26.83267605633803"/>
    <n v="64.612957746478884"/>
    <n v="0.4462806428086481"/>
    <n v="2328.5177238247798"/>
    <n v="2.9008571428571428"/>
  </r>
  <r>
    <s v="alexnet"/>
    <s v="__module.features.3/aten::_convolution/Convolution"/>
    <x v="3"/>
    <n v="57"/>
    <n v="32"/>
    <n v="32"/>
    <n v="32"/>
    <n v="28"/>
    <n v="22"/>
    <n v="27"/>
    <x v="0"/>
    <n v="32"/>
    <n v="0.34079999999999999"/>
    <n v="65536"/>
    <n v="33264"/>
    <n v="0.4924"/>
    <n v="75"/>
    <n v="128.19999999999999"/>
    <b v="1"/>
    <n v="1.071428571"/>
    <n v="224"/>
    <n v="94"/>
    <n v="19"/>
    <n v="31.046400000000002"/>
    <n v="61.16693333333334"/>
    <n v="0.42247900852552023"/>
    <n v="2204.3301118874574"/>
    <n v="3.0642857142857141"/>
  </r>
  <r>
    <s v="alexnet"/>
    <s v="__module.features.3/aten::_convolution/Convolution"/>
    <x v="3"/>
    <n v="58"/>
    <n v="32"/>
    <n v="32"/>
    <n v="32"/>
    <n v="28"/>
    <n v="13"/>
    <n v="27"/>
    <x v="0"/>
    <n v="32"/>
    <n v="0.45950000000000002"/>
    <n v="65536"/>
    <n v="19656"/>
    <n v="0.70009999999999994"/>
    <n v="66"/>
    <n v="73.8"/>
    <b v="1"/>
    <n v="0.94285714300000001"/>
    <n v="225"/>
    <n v="94"/>
    <n v="28"/>
    <n v="20.847272727272728"/>
    <n v="69.507878787878795"/>
    <n v="0.48008978241536382"/>
    <n v="2504.9205816902927"/>
    <n v="2.6965714285714286"/>
  </r>
  <r>
    <s v="alexnet"/>
    <s v="__module.features.3/aten::_convolution/Convolution"/>
    <x v="3"/>
    <n v="59"/>
    <n v="32"/>
    <n v="32"/>
    <n v="32"/>
    <n v="28"/>
    <n v="18"/>
    <n v="27"/>
    <x v="0"/>
    <n v="32"/>
    <n v="0.39360000000000001"/>
    <n v="65536"/>
    <n v="27216"/>
    <n v="0.5847"/>
    <n v="71"/>
    <n v="50"/>
    <b v="1"/>
    <n v="1.0142857139999999"/>
    <n v="226"/>
    <n v="94"/>
    <n v="23"/>
    <n v="26.83267605633803"/>
    <n v="64.612957746478884"/>
    <n v="0.4462806428086481"/>
    <n v="2328.5177238247798"/>
    <n v="2.9008571428571428"/>
  </r>
  <r>
    <s v="alexnet"/>
    <s v="__module.features.3/aten::_convolution/Convolution"/>
    <x v="3"/>
    <n v="60"/>
    <n v="32"/>
    <n v="32"/>
    <n v="32"/>
    <n v="28"/>
    <n v="17"/>
    <n v="27"/>
    <x v="0"/>
    <n v="32"/>
    <n v="0.40670000000000001"/>
    <n v="65536"/>
    <n v="25704"/>
    <n v="0.60780000000000001"/>
    <n v="70"/>
    <n v="48"/>
    <b v="1"/>
    <n v="1"/>
    <n v="227"/>
    <n v="94"/>
    <n v="24"/>
    <n v="25.704000000000001"/>
    <n v="65.536000000000001"/>
    <n v="0.45265608056305734"/>
    <n v="2361.7822627365617"/>
    <n v="2.86"/>
  </r>
  <r>
    <s v="alexnet"/>
    <s v="__module.features.3/aten::_convolution/Convolution"/>
    <x v="3"/>
    <n v="61"/>
    <n v="32"/>
    <n v="32"/>
    <n v="32"/>
    <n v="30"/>
    <n v="18"/>
    <n v="20"/>
    <x v="0"/>
    <n v="32"/>
    <n v="0.53120000000000001"/>
    <n v="65536"/>
    <n v="21600"/>
    <n v="0.6704"/>
    <n v="66"/>
    <n v="56.6"/>
    <b v="1"/>
    <n v="0.94285714300000001"/>
    <n v="228"/>
    <n v="94"/>
    <n v="28"/>
    <n v="22.90909090909091"/>
    <n v="69.507878787878795"/>
    <n v="0.48008978241536382"/>
    <n v="2504.9205816902927"/>
    <n v="2.6965714285714286"/>
  </r>
  <r>
    <s v="alexnet"/>
    <s v="__module.features.3/aten::_convolution/Convolution"/>
    <x v="3"/>
    <n v="62"/>
    <n v="32"/>
    <n v="32"/>
    <n v="32"/>
    <n v="30"/>
    <n v="18"/>
    <n v="20"/>
    <x v="0"/>
    <n v="32"/>
    <n v="0.53120000000000001"/>
    <n v="65536"/>
    <n v="21600"/>
    <n v="0.6704"/>
    <n v="66"/>
    <n v="53.2"/>
    <b v="1"/>
    <n v="0.94285714300000001"/>
    <n v="229"/>
    <n v="94"/>
    <n v="28"/>
    <n v="22.90909090909091"/>
    <n v="69.507878787878795"/>
    <n v="0.48008978241536382"/>
    <n v="2504.9205816902927"/>
    <n v="2.6965714285714286"/>
  </r>
  <r>
    <s v="alexnet"/>
    <s v="__module.features.3/aten::_convolution/Convolution"/>
    <x v="3"/>
    <n v="63"/>
    <n v="32"/>
    <n v="32"/>
    <n v="32"/>
    <n v="30"/>
    <n v="22"/>
    <n v="20"/>
    <x v="0"/>
    <n v="32"/>
    <n v="0.49220000000000003"/>
    <n v="65536"/>
    <n v="26400"/>
    <n v="0.59719999999999995"/>
    <n v="70"/>
    <n v="47.8"/>
    <b v="1"/>
    <n v="1"/>
    <n v="230"/>
    <n v="94"/>
    <n v="24"/>
    <n v="26.400000000000006"/>
    <n v="65.536000000000001"/>
    <n v="0.45265608056305734"/>
    <n v="2361.7822627365617"/>
    <n v="2.86"/>
  </r>
  <r>
    <s v="alexnet"/>
    <s v="__module.features.3/aten::_convolution/Convolution"/>
    <x v="3"/>
    <n v="64"/>
    <n v="32"/>
    <n v="32"/>
    <n v="32"/>
    <n v="30"/>
    <n v="13"/>
    <n v="20"/>
    <x v="0"/>
    <n v="32"/>
    <n v="0.58009999999999995"/>
    <n v="65536"/>
    <n v="15600"/>
    <n v="0.76200000000000001"/>
    <n v="61"/>
    <n v="69.3"/>
    <b v="1"/>
    <n v="0.87142857100000004"/>
    <n v="231"/>
    <n v="94"/>
    <n v="33"/>
    <n v="17.901639344262296"/>
    <n v="75.205245901639358"/>
    <n v="0.51944140392481997"/>
    <n v="2710.2419408452347"/>
    <n v="2.4922857142857144"/>
  </r>
  <r>
    <s v="alexnet"/>
    <s v="__module.features.3/aten::_convolution/Convolution"/>
    <x v="3"/>
    <n v="65"/>
    <n v="32"/>
    <n v="32"/>
    <n v="32"/>
    <n v="30"/>
    <n v="18"/>
    <n v="20"/>
    <x v="0"/>
    <n v="32"/>
    <n v="0.53120000000000001"/>
    <n v="65536"/>
    <n v="21600"/>
    <n v="0.6704"/>
    <n v="66"/>
    <n v="50"/>
    <b v="1"/>
    <n v="0.94285714300000001"/>
    <n v="232"/>
    <n v="94"/>
    <n v="28"/>
    <n v="22.90909090909091"/>
    <n v="69.507878787878795"/>
    <n v="0.48008978241536382"/>
    <n v="2504.9205816902927"/>
    <n v="2.6965714285714286"/>
  </r>
  <r>
    <s v="alexnet"/>
    <s v="__module.features.3/aten::_convolution/Convolution"/>
    <x v="3"/>
    <n v="66"/>
    <n v="32"/>
    <n v="32"/>
    <n v="32"/>
    <n v="30"/>
    <n v="17"/>
    <n v="20"/>
    <x v="0"/>
    <n v="32"/>
    <n v="0.54100000000000004"/>
    <n v="65536"/>
    <n v="20400"/>
    <n v="0.68869999999999998"/>
    <n v="65"/>
    <n v="331.5"/>
    <b v="1"/>
    <n v="0.928571429"/>
    <n v="233"/>
    <n v="94"/>
    <n v="29"/>
    <n v="21.969230769230773"/>
    <n v="70.577230769230781"/>
    <n v="0.48747577906790795"/>
    <n v="2543.457821408605"/>
    <n v="2.6557142857142857"/>
  </r>
  <r>
    <s v="alexnet"/>
    <s v="__module.features.3/aten::_convolution/Convolution"/>
    <x v="3"/>
    <n v="67"/>
    <n v="32"/>
    <n v="32"/>
    <n v="32"/>
    <n v="28"/>
    <n v="18"/>
    <n v="15"/>
    <x v="0"/>
    <n v="32"/>
    <n v="0.66310000000000002"/>
    <n v="65536"/>
    <n v="15120"/>
    <n v="0.76929999999999998"/>
    <n v="59"/>
    <n v="49.2"/>
    <b v="1"/>
    <n v="0.84285714300000003"/>
    <n v="234"/>
    <n v="94"/>
    <n v="35"/>
    <n v="17.938983050847462"/>
    <n v="77.754576271186451"/>
    <n v="0.5370495871087122"/>
    <n v="2802.11454900948"/>
    <n v="2.4105714285714286"/>
  </r>
  <r>
    <s v="alexnet"/>
    <s v="__module.features.3/aten::_convolution/Convolution"/>
    <x v="3"/>
    <n v="68"/>
    <n v="32"/>
    <n v="32"/>
    <n v="32"/>
    <n v="28"/>
    <n v="18"/>
    <n v="15"/>
    <x v="0"/>
    <n v="32"/>
    <n v="0.66310000000000002"/>
    <n v="65536"/>
    <n v="15120"/>
    <n v="0.76929999999999998"/>
    <n v="59"/>
    <n v="55.8"/>
    <b v="1"/>
    <n v="0.84285714300000003"/>
    <n v="235"/>
    <n v="94"/>
    <n v="35"/>
    <n v="17.938983050847462"/>
    <n v="77.754576271186451"/>
    <n v="0.5370495871087122"/>
    <n v="2802.11454900948"/>
    <n v="2.4105714285714286"/>
  </r>
  <r>
    <s v="alexnet"/>
    <s v="__module.features.3/aten::_convolution/Convolution"/>
    <x v="3"/>
    <n v="69"/>
    <n v="32"/>
    <n v="32"/>
    <n v="32"/>
    <n v="28"/>
    <n v="22"/>
    <n v="15"/>
    <x v="0"/>
    <n v="32"/>
    <n v="0.63380000000000003"/>
    <n v="65536"/>
    <n v="18480"/>
    <n v="0.71799999999999997"/>
    <n v="63"/>
    <n v="82.3"/>
    <b v="1"/>
    <n v="0.9"/>
    <n v="236"/>
    <n v="94"/>
    <n v="31"/>
    <n v="20.533333333333335"/>
    <n v="72.817777777777778"/>
    <n v="0.50295120062561927"/>
    <n v="2624.2025141517352"/>
    <n v="2.5739999999999998"/>
  </r>
  <r>
    <s v="alexnet"/>
    <s v="__module.features.3/aten::_convolution/Convolution"/>
    <x v="3"/>
    <n v="70"/>
    <n v="32"/>
    <n v="32"/>
    <n v="32"/>
    <n v="28"/>
    <n v="13"/>
    <n v="15"/>
    <x v="0"/>
    <n v="32"/>
    <n v="0.69969999999999999"/>
    <n v="65536"/>
    <n v="10920"/>
    <n v="0.83340000000000003"/>
    <n v="54"/>
    <n v="48.4"/>
    <b v="1"/>
    <n v="0.77142857099999995"/>
    <n v="237"/>
    <n v="94"/>
    <n v="40"/>
    <n v="14.155555555555557"/>
    <n v="84.954074074074072"/>
    <n v="0.58677640072988901"/>
    <n v="3061.5695998436909"/>
    <n v="2.2062857142857144"/>
  </r>
  <r>
    <s v="alexnet"/>
    <s v="__module.features.3/aten::_convolution/Convolution"/>
    <x v="3"/>
    <n v="71"/>
    <n v="32"/>
    <n v="32"/>
    <n v="32"/>
    <n v="28"/>
    <n v="18"/>
    <n v="15"/>
    <x v="0"/>
    <n v="32"/>
    <n v="0.66310000000000002"/>
    <n v="65536"/>
    <n v="15120"/>
    <n v="0.76929999999999998"/>
    <n v="59"/>
    <n v="237.4"/>
    <b v="1"/>
    <n v="0.84285714300000003"/>
    <n v="238"/>
    <n v="94"/>
    <n v="35"/>
    <n v="17.938983050847462"/>
    <n v="77.754576271186451"/>
    <n v="0.5370495871087122"/>
    <n v="2802.11454900948"/>
    <n v="2.4105714285714286"/>
  </r>
  <r>
    <s v="alexnet"/>
    <s v="__module.features.3/aten::_convolution/Convolution"/>
    <x v="3"/>
    <n v="72"/>
    <n v="32"/>
    <n v="32"/>
    <n v="32"/>
    <n v="28"/>
    <n v="17"/>
    <n v="15"/>
    <x v="0"/>
    <n v="32"/>
    <n v="0.6704"/>
    <n v="65536"/>
    <n v="14280"/>
    <n v="0.78210000000000002"/>
    <n v="58"/>
    <n v="49.2"/>
    <b v="1"/>
    <n v="0.82857142900000003"/>
    <n v="239"/>
    <n v="94"/>
    <n v="36"/>
    <n v="17.23448275862069"/>
    <n v="79.095172413793108"/>
    <n v="0.54630906274851743"/>
    <n v="2850.4268688199882"/>
    <n v="2.3697142857142857"/>
  </r>
  <r>
    <s v="alexnet"/>
    <s v="__module.features.3/aten::_convolution/Convolution"/>
    <x v="3"/>
    <n v="73"/>
    <n v="32"/>
    <n v="32"/>
    <n v="32"/>
    <n v="32"/>
    <n v="18"/>
    <n v="17"/>
    <x v="0"/>
    <n v="32"/>
    <n v="0.58499999999999996"/>
    <n v="65536"/>
    <n v="19584"/>
    <n v="0.70120000000000005"/>
    <n v="65"/>
    <n v="135.1"/>
    <b v="1"/>
    <n v="0.928571429"/>
    <n v="240"/>
    <n v="94"/>
    <n v="29"/>
    <n v="21.09046153846154"/>
    <n v="70.577230769230781"/>
    <n v="0.48747577906790795"/>
    <n v="2543.457821408605"/>
    <n v="2.6557142857142857"/>
  </r>
  <r>
    <s v="alexnet"/>
    <s v="__module.features.3/aten::_convolution/Convolution"/>
    <x v="3"/>
    <n v="74"/>
    <n v="32"/>
    <n v="32"/>
    <n v="32"/>
    <n v="32"/>
    <n v="18"/>
    <n v="17"/>
    <x v="0"/>
    <n v="32"/>
    <n v="0.58499999999999996"/>
    <n v="65536"/>
    <n v="19584"/>
    <n v="0.70120000000000005"/>
    <n v="65"/>
    <n v="39.299999999999997"/>
    <b v="1"/>
    <n v="0.928571429"/>
    <n v="241"/>
    <n v="94"/>
    <n v="29"/>
    <n v="21.09046153846154"/>
    <n v="70.577230769230781"/>
    <n v="0.48747577906790795"/>
    <n v="2543.457821408605"/>
    <n v="2.6557142857142857"/>
  </r>
  <r>
    <s v="alexnet"/>
    <s v="__module.features.3/aten::_convolution/Convolution"/>
    <x v="3"/>
    <n v="75"/>
    <n v="32"/>
    <n v="32"/>
    <n v="32"/>
    <n v="32"/>
    <n v="22"/>
    <n v="17"/>
    <x v="0"/>
    <n v="32"/>
    <n v="0.55179999999999996"/>
    <n v="65536"/>
    <n v="23936"/>
    <n v="0.63480000000000003"/>
    <n v="69"/>
    <n v="45.2"/>
    <b v="1"/>
    <n v="0.985714286"/>
    <n v="242"/>
    <n v="94"/>
    <n v="25"/>
    <n v="24.282898550724639"/>
    <n v="66.485797101449279"/>
    <n v="0.45921631361469584"/>
    <n v="2396.0109911820191"/>
    <n v="2.8191428571428574"/>
  </r>
  <r>
    <s v="alexnet"/>
    <s v="__module.features.3/aten::_convolution/Convolution"/>
    <x v="3"/>
    <n v="76"/>
    <n v="32"/>
    <n v="32"/>
    <n v="32"/>
    <n v="32"/>
    <n v="13"/>
    <n v="17"/>
    <x v="0"/>
    <n v="32"/>
    <n v="0.62649999999999995"/>
    <n v="65536"/>
    <n v="14144"/>
    <n v="0.78420000000000001"/>
    <n v="60"/>
    <n v="163.69999999999999"/>
    <b v="1"/>
    <n v="0.85714285700000004"/>
    <n v="243"/>
    <n v="94"/>
    <n v="34"/>
    <n v="16.501333333333335"/>
    <n v="76.458666666666673"/>
    <n v="0.52809876065690031"/>
    <n v="2755.4126398593216"/>
    <n v="2.4514285714285711"/>
  </r>
  <r>
    <s v="alexnet"/>
    <s v="__module.features.3/aten::_convolution/Convolution"/>
    <x v="3"/>
    <n v="77"/>
    <n v="32"/>
    <n v="32"/>
    <n v="32"/>
    <n v="32"/>
    <n v="18"/>
    <n v="17"/>
    <x v="0"/>
    <n v="32"/>
    <n v="0.58499999999999996"/>
    <n v="65536"/>
    <n v="19584"/>
    <n v="0.70120000000000005"/>
    <n v="65"/>
    <n v="49.4"/>
    <b v="1"/>
    <n v="0.928571429"/>
    <n v="244"/>
    <n v="94"/>
    <n v="29"/>
    <n v="21.09046153846154"/>
    <n v="70.577230769230781"/>
    <n v="0.48747577906790795"/>
    <n v="2543.457821408605"/>
    <n v="2.6557142857142857"/>
  </r>
  <r>
    <s v="alexnet"/>
    <s v="__module.features.3/aten::_convolution/Convolution"/>
    <x v="3"/>
    <n v="78"/>
    <n v="32"/>
    <n v="32"/>
    <n v="32"/>
    <n v="32"/>
    <n v="17"/>
    <n v="17"/>
    <x v="0"/>
    <n v="32"/>
    <n v="0.59330000000000005"/>
    <n v="65536"/>
    <n v="18496"/>
    <n v="0.71779999999999999"/>
    <n v="64"/>
    <n v="86.2"/>
    <b v="1"/>
    <n v="0.91428571400000003"/>
    <n v="245"/>
    <n v="94"/>
    <n v="30"/>
    <n v="20.23"/>
    <n v="71.680000000000007"/>
    <n v="0.49509258811584395"/>
    <n v="2583.1993498681145"/>
    <n v="2.6148571428571428"/>
  </r>
  <r>
    <s v="alexnet"/>
    <s v="__module.features.3/aten::_convolution/Convolution"/>
    <x v="3"/>
    <n v="79"/>
    <n v="32"/>
    <n v="32"/>
    <n v="32"/>
    <n v="31"/>
    <n v="18"/>
    <n v="18"/>
    <x v="0"/>
    <n v="32"/>
    <n v="0.56930000000000003"/>
    <n v="65536"/>
    <n v="20088"/>
    <n v="0.69350000000000001"/>
    <n v="65"/>
    <n v="42.6"/>
    <b v="1"/>
    <n v="0.928571429"/>
    <n v="246"/>
    <n v="94"/>
    <n v="29"/>
    <n v="21.633230769230771"/>
    <n v="70.577230769230781"/>
    <n v="0.48747577906790795"/>
    <n v="2543.457821408605"/>
    <n v="2.6557142857142857"/>
  </r>
  <r>
    <s v="alexnet"/>
    <s v="__module.features.3/aten::_convolution/Convolution"/>
    <x v="3"/>
    <n v="80"/>
    <n v="32"/>
    <n v="32"/>
    <n v="32"/>
    <n v="31"/>
    <n v="18"/>
    <n v="18"/>
    <x v="0"/>
    <n v="32"/>
    <n v="0.56930000000000003"/>
    <n v="65536"/>
    <n v="20088"/>
    <n v="0.69350000000000001"/>
    <n v="65"/>
    <n v="49"/>
    <b v="1"/>
    <n v="0.928571429"/>
    <n v="247"/>
    <n v="94"/>
    <n v="29"/>
    <n v="21.633230769230771"/>
    <n v="70.577230769230781"/>
    <n v="0.48747577906790795"/>
    <n v="2543.457821408605"/>
    <n v="2.6557142857142857"/>
  </r>
  <r>
    <s v="alexnet"/>
    <s v="__module.features.3/aten::_convolution/Convolution"/>
    <x v="3"/>
    <n v="81"/>
    <n v="32"/>
    <n v="32"/>
    <n v="32"/>
    <n v="31"/>
    <n v="22"/>
    <n v="18"/>
    <x v="0"/>
    <n v="32"/>
    <n v="0.53420000000000001"/>
    <n v="65536"/>
    <n v="24552"/>
    <n v="0.62539999999999996"/>
    <n v="69"/>
    <n v="50.4"/>
    <b v="1"/>
    <n v="0.985714286"/>
    <n v="248"/>
    <n v="94"/>
    <n v="25"/>
    <n v="24.907826086956526"/>
    <n v="66.485797101449279"/>
    <n v="0.45921631361469584"/>
    <n v="2396.0109911820191"/>
    <n v="2.8191428571428574"/>
  </r>
  <r>
    <s v="alexnet"/>
    <s v="__module.features.3/aten::_convolution/Convolution"/>
    <x v="3"/>
    <n v="82"/>
    <n v="32"/>
    <n v="32"/>
    <n v="32"/>
    <n v="31"/>
    <n v="13"/>
    <n v="18"/>
    <x v="0"/>
    <n v="32"/>
    <n v="0.61329999999999996"/>
    <n v="65536"/>
    <n v="14508"/>
    <n v="0.77859999999999996"/>
    <n v="60"/>
    <n v="50"/>
    <b v="1"/>
    <n v="0.85714285700000004"/>
    <n v="249"/>
    <n v="94"/>
    <n v="34"/>
    <n v="16.926000000000002"/>
    <n v="76.458666666666673"/>
    <n v="0.52809876065690031"/>
    <n v="2755.4126398593216"/>
    <n v="2.4514285714285711"/>
  </r>
  <r>
    <s v="alexnet"/>
    <s v="__module.features.3/aten::_convolution/Convolution"/>
    <x v="3"/>
    <n v="83"/>
    <n v="32"/>
    <n v="32"/>
    <n v="32"/>
    <n v="31"/>
    <n v="18"/>
    <n v="18"/>
    <x v="0"/>
    <n v="32"/>
    <n v="0.56930000000000003"/>
    <n v="65536"/>
    <n v="20088"/>
    <n v="0.69350000000000001"/>
    <n v="65"/>
    <n v="49.5"/>
    <b v="1"/>
    <n v="0.928571429"/>
    <n v="250"/>
    <n v="94"/>
    <n v="29"/>
    <n v="21.633230769230771"/>
    <n v="70.577230769230781"/>
    <n v="0.48747577906790795"/>
    <n v="2543.457821408605"/>
    <n v="2.6557142857142857"/>
  </r>
  <r>
    <s v="alexnet"/>
    <s v="__module.features.3/aten::_convolution/Convolution"/>
    <x v="3"/>
    <n v="84"/>
    <n v="32"/>
    <n v="32"/>
    <n v="32"/>
    <n v="31"/>
    <n v="17"/>
    <n v="18"/>
    <x v="0"/>
    <n v="32"/>
    <n v="0.57809999999999995"/>
    <n v="65536"/>
    <n v="18972"/>
    <n v="0.71050000000000002"/>
    <n v="64"/>
    <n v="115.3"/>
    <b v="1"/>
    <n v="0.91428571400000003"/>
    <n v="251"/>
    <n v="94"/>
    <n v="30"/>
    <n v="20.750625000000003"/>
    <n v="71.680000000000007"/>
    <n v="0.49509258811584395"/>
    <n v="2583.1993498681145"/>
    <n v="2.6148571428571428"/>
  </r>
  <r>
    <s v="alexnet"/>
    <s v="__module.features.3/aten::_convolution/Convolution"/>
    <x v="3"/>
    <n v="85"/>
    <n v="32"/>
    <n v="32"/>
    <n v="32"/>
    <n v="30"/>
    <n v="18"/>
    <n v="23"/>
    <x v="0"/>
    <n v="32"/>
    <n v="0.46089999999999998"/>
    <n v="65536"/>
    <n v="24840"/>
    <n v="0.621"/>
    <n v="69"/>
    <n v="44.6"/>
    <b v="1"/>
    <n v="0.985714286"/>
    <n v="252"/>
    <n v="94"/>
    <n v="25"/>
    <n v="25.200000000000003"/>
    <n v="66.485797101449279"/>
    <n v="0.45921631361469584"/>
    <n v="2396.0109911820191"/>
    <n v="2.8191428571428574"/>
  </r>
  <r>
    <s v="alexnet"/>
    <s v="__module.features.3/aten::_convolution/Convolution"/>
    <x v="3"/>
    <n v="86"/>
    <n v="32"/>
    <n v="32"/>
    <n v="32"/>
    <n v="30"/>
    <n v="18"/>
    <n v="23"/>
    <x v="0"/>
    <n v="32"/>
    <n v="0.46089999999999998"/>
    <n v="65536"/>
    <n v="24840"/>
    <n v="0.621"/>
    <n v="69"/>
    <n v="137.30000000000001"/>
    <b v="1"/>
    <n v="0.985714286"/>
    <n v="253"/>
    <n v="94"/>
    <n v="25"/>
    <n v="25.200000000000003"/>
    <n v="66.485797101449279"/>
    <n v="0.45921631361469584"/>
    <n v="2396.0109911820191"/>
    <n v="2.8191428571428574"/>
  </r>
  <r>
    <s v="alexnet"/>
    <s v="__module.features.3/aten::_convolution/Convolution"/>
    <x v="3"/>
    <n v="87"/>
    <n v="32"/>
    <n v="32"/>
    <n v="32"/>
    <n v="30"/>
    <n v="22"/>
    <n v="23"/>
    <x v="0"/>
    <n v="32"/>
    <n v="0.41599999999999998"/>
    <n v="65536"/>
    <n v="30360"/>
    <n v="0.53669999999999995"/>
    <n v="73"/>
    <n v="61.1"/>
    <b v="1"/>
    <n v="1.042857143"/>
    <n v="254"/>
    <n v="94"/>
    <n v="21"/>
    <n v="29.112328767123291"/>
    <n v="62.842739726027396"/>
    <n v="0.43405377588238375"/>
    <n v="2264.7227176925931"/>
    <n v="2.9825714285714291"/>
  </r>
  <r>
    <s v="alexnet"/>
    <s v="__module.features.3/aten::_convolution/Convolution"/>
    <x v="3"/>
    <n v="88"/>
    <n v="32"/>
    <n v="32"/>
    <n v="32"/>
    <n v="30"/>
    <n v="13"/>
    <n v="23"/>
    <x v="0"/>
    <n v="32"/>
    <n v="0.5171"/>
    <n v="65536"/>
    <n v="17940"/>
    <n v="0.72629999999999995"/>
    <n v="64"/>
    <n v="47.4"/>
    <b v="1"/>
    <n v="0.91428571400000003"/>
    <n v="255"/>
    <n v="94"/>
    <n v="30"/>
    <n v="19.621875000000003"/>
    <n v="71.680000000000007"/>
    <n v="0.49509258811584395"/>
    <n v="2583.1993498681145"/>
    <n v="2.6148571428571428"/>
  </r>
  <r>
    <s v="alexnet"/>
    <s v="__module.features.3/aten::_convolution/Convolution"/>
    <x v="3"/>
    <n v="89"/>
    <n v="32"/>
    <n v="32"/>
    <n v="32"/>
    <n v="30"/>
    <n v="18"/>
    <n v="23"/>
    <x v="0"/>
    <n v="32"/>
    <n v="0.46089999999999998"/>
    <n v="65536"/>
    <n v="24840"/>
    <n v="0.621"/>
    <n v="69"/>
    <n v="54.8"/>
    <b v="1"/>
    <n v="0.985714286"/>
    <n v="256"/>
    <n v="94"/>
    <n v="25"/>
    <n v="25.200000000000003"/>
    <n v="66.485797101449279"/>
    <n v="0.45921631361469584"/>
    <n v="2396.0109911820191"/>
    <n v="2.8191428571428574"/>
  </r>
  <r>
    <s v="alexnet"/>
    <s v="__module.features.3/aten::_convolution/Convolution"/>
    <x v="3"/>
    <n v="90"/>
    <n v="32"/>
    <n v="32"/>
    <n v="32"/>
    <n v="30"/>
    <n v="17"/>
    <n v="23"/>
    <x v="0"/>
    <n v="32"/>
    <n v="0.47220000000000001"/>
    <n v="65536"/>
    <n v="23460"/>
    <n v="0.64200000000000002"/>
    <n v="68"/>
    <n v="62"/>
    <b v="1"/>
    <n v="0.97142857100000002"/>
    <n v="257"/>
    <n v="94"/>
    <n v="26"/>
    <n v="24.150000000000002"/>
    <n v="67.463529411764711"/>
    <n v="0.4659694946972649"/>
    <n v="2431.246446934696"/>
    <n v="2.778285714285714"/>
  </r>
  <r>
    <s v="alexnet"/>
    <s v="__module.features.3/aten::_convolution/Convolution"/>
    <x v="3"/>
    <n v="91"/>
    <n v="32"/>
    <n v="32"/>
    <n v="32"/>
    <n v="29"/>
    <n v="18"/>
    <n v="25"/>
    <x v="0"/>
    <n v="32"/>
    <n v="0.42630000000000001"/>
    <n v="65536"/>
    <n v="26100"/>
    <n v="0.60170000000000001"/>
    <n v="70"/>
    <n v="47.4"/>
    <b v="1"/>
    <n v="1"/>
    <n v="258"/>
    <n v="94"/>
    <n v="24"/>
    <n v="26.1"/>
    <n v="65.536000000000001"/>
    <n v="0.45265608056305734"/>
    <n v="2361.7822627365617"/>
    <n v="2.86"/>
  </r>
  <r>
    <s v="alexnet"/>
    <s v="__module.features.3/aten::_convolution/Convolution"/>
    <x v="3"/>
    <n v="92"/>
    <n v="32"/>
    <n v="32"/>
    <n v="32"/>
    <n v="29"/>
    <n v="18"/>
    <n v="25"/>
    <x v="0"/>
    <n v="32"/>
    <n v="0.42630000000000001"/>
    <n v="65536"/>
    <n v="26100"/>
    <n v="0.60170000000000001"/>
    <n v="70"/>
    <n v="48.1"/>
    <b v="1"/>
    <n v="1"/>
    <n v="259"/>
    <n v="94"/>
    <n v="24"/>
    <n v="26.1"/>
    <n v="65.536000000000001"/>
    <n v="0.45265608056305734"/>
    <n v="2361.7822627365617"/>
    <n v="2.86"/>
  </r>
  <r>
    <s v="alexnet"/>
    <s v="__module.features.3/aten::_convolution/Convolution"/>
    <x v="3"/>
    <n v="93"/>
    <n v="32"/>
    <n v="32"/>
    <n v="32"/>
    <n v="29"/>
    <n v="22"/>
    <n v="25"/>
    <x v="0"/>
    <n v="32"/>
    <n v="0.37740000000000001"/>
    <n v="65536"/>
    <n v="31900"/>
    <n v="0.51319999999999999"/>
    <n v="74"/>
    <n v="48.2"/>
    <b v="1"/>
    <n v="1.0571428570000001"/>
    <n v="260"/>
    <n v="94"/>
    <n v="20"/>
    <n v="30.175675675675681"/>
    <n v="61.99351351351352"/>
    <n v="0.4281881843164056"/>
    <n v="2234.1183566426935"/>
    <n v="3.0234285714285716"/>
  </r>
  <r>
    <s v="alexnet"/>
    <s v="__module.features.3/aten::_convolution/Convolution"/>
    <x v="3"/>
    <n v="94"/>
    <n v="32"/>
    <n v="32"/>
    <n v="32"/>
    <n v="29"/>
    <n v="13"/>
    <n v="25"/>
    <x v="0"/>
    <n v="32"/>
    <n v="0.48730000000000001"/>
    <n v="65536"/>
    <n v="18850"/>
    <n v="0.71240000000000003"/>
    <n v="65"/>
    <n v="52.1"/>
    <b v="1"/>
    <n v="0.928571429"/>
    <n v="261"/>
    <n v="94"/>
    <n v="29"/>
    <n v="20.3"/>
    <n v="70.577230769230781"/>
    <n v="0.48747577906790795"/>
    <n v="2543.457821408605"/>
    <n v="2.6557142857142857"/>
  </r>
  <r>
    <s v="alexnet"/>
    <s v="__module.features.3/aten::_convolution/Convolution"/>
    <x v="3"/>
    <n v="95"/>
    <n v="32"/>
    <n v="32"/>
    <n v="32"/>
    <n v="29"/>
    <n v="18"/>
    <n v="25"/>
    <x v="0"/>
    <n v="32"/>
    <n v="0.42630000000000001"/>
    <n v="65536"/>
    <n v="26100"/>
    <n v="0.60170000000000001"/>
    <n v="70"/>
    <n v="71.8"/>
    <b v="1"/>
    <n v="1"/>
    <n v="262"/>
    <n v="94"/>
    <n v="24"/>
    <n v="26.1"/>
    <n v="65.536000000000001"/>
    <n v="0.45265608056305734"/>
    <n v="2361.7822627365617"/>
    <n v="2.86"/>
  </r>
  <r>
    <s v="alexnet"/>
    <s v="__module.features.3/aten::_convolution/Convolution"/>
    <x v="3"/>
    <n v="96"/>
    <n v="32"/>
    <n v="32"/>
    <n v="32"/>
    <n v="29"/>
    <n v="17"/>
    <n v="25"/>
    <x v="0"/>
    <n v="32"/>
    <n v="0.4385"/>
    <n v="65536"/>
    <n v="24650"/>
    <n v="0.62390000000000001"/>
    <n v="69"/>
    <n v="141.4"/>
    <b v="1"/>
    <n v="0.985714286"/>
    <n v="263"/>
    <n v="94"/>
    <n v="25"/>
    <n v="25.007246376811597"/>
    <n v="66.485797101449279"/>
    <n v="0.45921631361469584"/>
    <n v="2396.0109911820191"/>
    <n v="2.8191428571428574"/>
  </r>
  <r>
    <s v="alexnet"/>
    <s v="__module.features.3/aten::_convolution/Convolution"/>
    <x v="3"/>
    <n v="97"/>
    <n v="32"/>
    <n v="32"/>
    <n v="32"/>
    <n v="26"/>
    <n v="18"/>
    <n v="21"/>
    <x v="0"/>
    <n v="32"/>
    <n v="0.54879999999999995"/>
    <n v="65536"/>
    <n v="19656"/>
    <n v="0.70009999999999994"/>
    <n v="63"/>
    <n v="45.2"/>
    <b v="1"/>
    <n v="0.9"/>
    <n v="264"/>
    <n v="94"/>
    <n v="31"/>
    <n v="21.840000000000003"/>
    <n v="72.817777777777778"/>
    <n v="0.50295120062561927"/>
    <n v="2624.2025141517352"/>
    <n v="2.5739999999999998"/>
  </r>
  <r>
    <s v="alexnet"/>
    <s v="__module.features.3/aten::_convolution/Convolution"/>
    <x v="3"/>
    <n v="98"/>
    <n v="32"/>
    <n v="32"/>
    <n v="32"/>
    <n v="26"/>
    <n v="18"/>
    <n v="21"/>
    <x v="0"/>
    <n v="32"/>
    <n v="0.54879999999999995"/>
    <n v="65536"/>
    <n v="19656"/>
    <n v="0.70009999999999994"/>
    <n v="63"/>
    <n v="48.9"/>
    <b v="1"/>
    <n v="0.9"/>
    <n v="265"/>
    <n v="94"/>
    <n v="31"/>
    <n v="21.840000000000003"/>
    <n v="72.817777777777778"/>
    <n v="0.50295120062561927"/>
    <n v="2624.2025141517352"/>
    <n v="2.5739999999999998"/>
  </r>
  <r>
    <s v="alexnet"/>
    <s v="__module.features.3/aten::_convolution/Convolution"/>
    <x v="3"/>
    <n v="99"/>
    <n v="32"/>
    <n v="32"/>
    <n v="32"/>
    <n v="26"/>
    <n v="22"/>
    <n v="21"/>
    <x v="0"/>
    <n v="32"/>
    <n v="0.50780000000000003"/>
    <n v="65536"/>
    <n v="24024"/>
    <n v="0.63339999999999996"/>
    <n v="67"/>
    <n v="78.900000000000006"/>
    <b v="1"/>
    <n v="0.95714285700000001"/>
    <n v="266"/>
    <n v="94"/>
    <n v="27"/>
    <n v="25.099701492537314"/>
    <n v="68.470447761194038"/>
    <n v="0.47292426327483605"/>
    <n v="2467.5337073367064"/>
    <n v="2.7374285714285715"/>
  </r>
  <r>
    <s v="alexnet"/>
    <s v="__module.features.3/aten::_convolution/Convolution"/>
    <x v="3"/>
    <n v="100"/>
    <n v="32"/>
    <n v="32"/>
    <n v="32"/>
    <n v="26"/>
    <n v="13"/>
    <n v="21"/>
    <x v="0"/>
    <n v="32"/>
    <n v="0.60009999999999997"/>
    <n v="65536"/>
    <n v="14196"/>
    <n v="0.78339999999999999"/>
    <n v="58"/>
    <n v="139.9"/>
    <b v="1"/>
    <n v="0.82857142900000003"/>
    <n v="267"/>
    <n v="94"/>
    <n v="36"/>
    <n v="17.133103448275865"/>
    <n v="79.095172413793108"/>
    <n v="0.54630906274851743"/>
    <n v="2850.4268688199882"/>
    <n v="2.3697142857142857"/>
  </r>
  <r>
    <s v="alexnet"/>
    <s v="__module.features.3/aten::_convolution/Convolution"/>
    <x v="3"/>
    <n v="101"/>
    <n v="32"/>
    <n v="32"/>
    <n v="32"/>
    <n v="26"/>
    <n v="18"/>
    <n v="21"/>
    <x v="0"/>
    <n v="32"/>
    <n v="0.54879999999999995"/>
    <n v="65536"/>
    <n v="19656"/>
    <n v="0.70009999999999994"/>
    <n v="63"/>
    <n v="75.400000000000006"/>
    <b v="1"/>
    <n v="0.9"/>
    <n v="268"/>
    <n v="94"/>
    <n v="31"/>
    <n v="21.840000000000003"/>
    <n v="72.817777777777778"/>
    <n v="0.50295120062561927"/>
    <n v="2624.2025141517352"/>
    <n v="2.5739999999999998"/>
  </r>
  <r>
    <s v="alexnet"/>
    <s v="__module.features.3/aten::_convolution/Convolution"/>
    <x v="3"/>
    <n v="102"/>
    <n v="32"/>
    <n v="32"/>
    <n v="32"/>
    <n v="26"/>
    <n v="17"/>
    <n v="21"/>
    <x v="0"/>
    <n v="32"/>
    <n v="0.55910000000000004"/>
    <n v="65536"/>
    <n v="18564"/>
    <n v="0.7167"/>
    <n v="62"/>
    <n v="49.8"/>
    <b v="1"/>
    <n v="0.88571428600000002"/>
    <n v="269"/>
    <n v="94"/>
    <n v="32"/>
    <n v="20.959354838709679"/>
    <n v="73.992258064516136"/>
    <n v="0.51106331676474215"/>
    <n v="2666.5283611541827"/>
    <n v="2.5331428571428569"/>
  </r>
  <r>
    <s v="alexnet"/>
    <s v="__module.features.3/aten::_convolution/Convolution"/>
    <x v="3"/>
    <n v="103"/>
    <n v="32"/>
    <n v="32"/>
    <n v="32"/>
    <n v="29"/>
    <n v="18"/>
    <n v="16"/>
    <x v="0"/>
    <n v="32"/>
    <n v="0.63280000000000003"/>
    <n v="65536"/>
    <n v="16704"/>
    <n v="0.74509999999999998"/>
    <n v="61"/>
    <n v="62.8"/>
    <b v="1"/>
    <n v="0.87142857100000004"/>
    <n v="270"/>
    <n v="94"/>
    <n v="33"/>
    <n v="19.168524590163937"/>
    <n v="75.205245901639358"/>
    <n v="0.51944140392481997"/>
    <n v="2710.2419408452347"/>
    <n v="2.4922857142857144"/>
  </r>
  <r>
    <s v="alexnet"/>
    <s v="__module.features.3/aten::_convolution/Convolution"/>
    <x v="3"/>
    <n v="104"/>
    <n v="32"/>
    <n v="32"/>
    <n v="32"/>
    <n v="29"/>
    <n v="18"/>
    <n v="16"/>
    <x v="0"/>
    <n v="32"/>
    <n v="0.63280000000000003"/>
    <n v="65536"/>
    <n v="16704"/>
    <n v="0.74509999999999998"/>
    <n v="61"/>
    <n v="162"/>
    <b v="1"/>
    <n v="0.87142857100000004"/>
    <n v="271"/>
    <n v="94"/>
    <n v="33"/>
    <n v="19.168524590163937"/>
    <n v="75.205245901639358"/>
    <n v="0.51944140392481997"/>
    <n v="2710.2419408452347"/>
    <n v="2.4922857142857144"/>
  </r>
  <r>
    <s v="alexnet"/>
    <s v="__module.features.3/aten::_convolution/Convolution"/>
    <x v="3"/>
    <n v="105"/>
    <n v="32"/>
    <n v="32"/>
    <n v="32"/>
    <n v="29"/>
    <n v="22"/>
    <n v="16"/>
    <x v="0"/>
    <n v="32"/>
    <n v="0.60160000000000002"/>
    <n v="65536"/>
    <n v="20416"/>
    <n v="0.6885"/>
    <n v="65"/>
    <n v="39.6"/>
    <b v="1"/>
    <n v="0.928571429"/>
    <n v="272"/>
    <n v="94"/>
    <n v="29"/>
    <n v="21.98646153846154"/>
    <n v="70.577230769230781"/>
    <n v="0.48747577906790795"/>
    <n v="2543.457821408605"/>
    <n v="2.6557142857142857"/>
  </r>
  <r>
    <s v="alexnet"/>
    <s v="__module.features.3/aten::_convolution/Convolution"/>
    <x v="3"/>
    <n v="106"/>
    <n v="32"/>
    <n v="32"/>
    <n v="32"/>
    <n v="29"/>
    <n v="13"/>
    <n v="16"/>
    <x v="0"/>
    <n v="32"/>
    <n v="0.67190000000000005"/>
    <n v="65536"/>
    <n v="12064"/>
    <n v="0.81589999999999996"/>
    <n v="56"/>
    <n v="45.5"/>
    <b v="1"/>
    <n v="0.8"/>
    <n v="273"/>
    <n v="94"/>
    <n v="38"/>
    <n v="15.08"/>
    <n v="81.92"/>
    <n v="0.56582010070382172"/>
    <n v="2952.2278284207018"/>
    <n v="2.2879999999999998"/>
  </r>
  <r>
    <s v="alexnet"/>
    <s v="__module.features.3/aten::_convolution/Convolution"/>
    <x v="3"/>
    <n v="107"/>
    <n v="32"/>
    <n v="32"/>
    <n v="32"/>
    <n v="29"/>
    <n v="18"/>
    <n v="16"/>
    <x v="0"/>
    <n v="32"/>
    <n v="0.63280000000000003"/>
    <n v="65536"/>
    <n v="16704"/>
    <n v="0.74509999999999998"/>
    <n v="61"/>
    <n v="125.8"/>
    <b v="1"/>
    <n v="0.87142857100000004"/>
    <n v="274"/>
    <n v="94"/>
    <n v="33"/>
    <n v="19.168524590163937"/>
    <n v="75.205245901639358"/>
    <n v="0.51944140392481997"/>
    <n v="2710.2419408452347"/>
    <n v="2.4922857142857144"/>
  </r>
  <r>
    <s v="alexnet"/>
    <s v="__module.features.3/aten::_convolution/Convolution"/>
    <x v="3"/>
    <n v="108"/>
    <n v="32"/>
    <n v="32"/>
    <n v="32"/>
    <n v="29"/>
    <n v="17"/>
    <n v="16"/>
    <x v="0"/>
    <n v="32"/>
    <n v="0.64059999999999995"/>
    <n v="65536"/>
    <n v="15776"/>
    <n v="0.75929999999999997"/>
    <n v="60"/>
    <n v="71.2"/>
    <b v="1"/>
    <n v="0.85714285700000004"/>
    <n v="275"/>
    <n v="94"/>
    <n v="34"/>
    <n v="18.405333333333335"/>
    <n v="76.458666666666673"/>
    <n v="0.52809876065690031"/>
    <n v="2755.4126398593216"/>
    <n v="2.4514285714285711"/>
  </r>
  <r>
    <s v="alexnet"/>
    <s v="__module.features.3/aten::_convolution/Convolution"/>
    <x v="3"/>
    <n v="109"/>
    <n v="32"/>
    <n v="32"/>
    <n v="32"/>
    <n v="30"/>
    <n v="18"/>
    <n v="18"/>
    <x v="0"/>
    <n v="32"/>
    <n v="0.57809999999999995"/>
    <n v="65536"/>
    <n v="19440"/>
    <n v="0.70340000000000003"/>
    <n v="64"/>
    <n v="47.1"/>
    <b v="1"/>
    <n v="0.91428571400000003"/>
    <n v="276"/>
    <n v="94"/>
    <n v="30"/>
    <n v="21.262500000000003"/>
    <n v="71.680000000000007"/>
    <n v="0.49509258811584395"/>
    <n v="2583.1993498681145"/>
    <n v="2.6148571428571428"/>
  </r>
  <r>
    <s v="alexnet"/>
    <s v="__module.features.3/aten::_convolution/Convolution"/>
    <x v="3"/>
    <n v="110"/>
    <n v="32"/>
    <n v="32"/>
    <n v="32"/>
    <n v="30"/>
    <n v="18"/>
    <n v="18"/>
    <x v="0"/>
    <n v="32"/>
    <n v="0.57809999999999995"/>
    <n v="65536"/>
    <n v="19440"/>
    <n v="0.70340000000000003"/>
    <n v="64"/>
    <n v="54.3"/>
    <b v="1"/>
    <n v="0.91428571400000003"/>
    <n v="277"/>
    <n v="94"/>
    <n v="30"/>
    <n v="21.262500000000003"/>
    <n v="71.680000000000007"/>
    <n v="0.49509258811584395"/>
    <n v="2583.1993498681145"/>
    <n v="2.6148571428571428"/>
  </r>
  <r>
    <s v="alexnet"/>
    <s v="__module.features.3/aten::_convolution/Convolution"/>
    <x v="3"/>
    <n v="111"/>
    <n v="32"/>
    <n v="32"/>
    <n v="32"/>
    <n v="30"/>
    <n v="22"/>
    <n v="18"/>
    <x v="0"/>
    <n v="32"/>
    <n v="0.54300000000000004"/>
    <n v="65536"/>
    <n v="23760"/>
    <n v="0.63749999999999996"/>
    <n v="68"/>
    <n v="92"/>
    <b v="1"/>
    <n v="0.97142857100000002"/>
    <n v="278"/>
    <n v="94"/>
    <n v="26"/>
    <n v="24.45882352941177"/>
    <n v="67.463529411764711"/>
    <n v="0.4659694946972649"/>
    <n v="2431.246446934696"/>
    <n v="2.778285714285714"/>
  </r>
  <r>
    <s v="alexnet"/>
    <s v="__module.features.3/aten::_convolution/Convolution"/>
    <x v="3"/>
    <n v="112"/>
    <n v="32"/>
    <n v="32"/>
    <n v="32"/>
    <n v="30"/>
    <n v="13"/>
    <n v="18"/>
    <x v="0"/>
    <n v="32"/>
    <n v="0.62209999999999999"/>
    <n v="65536"/>
    <n v="14040"/>
    <n v="0.78580000000000005"/>
    <n v="59"/>
    <n v="39"/>
    <b v="1"/>
    <n v="0.84285714300000003"/>
    <n v="279"/>
    <n v="94"/>
    <n v="35"/>
    <n v="16.657627118644069"/>
    <n v="77.754576271186451"/>
    <n v="0.5370495871087122"/>
    <n v="2802.11454900948"/>
    <n v="2.4105714285714286"/>
  </r>
  <r>
    <s v="alexnet"/>
    <s v="__module.features.3/aten::_convolution/Convolution"/>
    <x v="3"/>
    <n v="113"/>
    <n v="32"/>
    <n v="32"/>
    <n v="32"/>
    <n v="30"/>
    <n v="18"/>
    <n v="18"/>
    <x v="0"/>
    <n v="32"/>
    <n v="0.57809999999999995"/>
    <n v="65536"/>
    <n v="19440"/>
    <n v="0.70340000000000003"/>
    <n v="64"/>
    <n v="50.8"/>
    <b v="1"/>
    <n v="0.91428571400000003"/>
    <n v="280"/>
    <n v="94"/>
    <n v="30"/>
    <n v="21.262500000000003"/>
    <n v="71.680000000000007"/>
    <n v="0.49509258811584395"/>
    <n v="2583.1993498681145"/>
    <n v="2.6148571428571428"/>
  </r>
  <r>
    <s v="alexnet"/>
    <s v="__module.features.3/aten::_convolution/Convolution"/>
    <x v="3"/>
    <n v="114"/>
    <n v="32"/>
    <n v="32"/>
    <n v="32"/>
    <n v="30"/>
    <n v="17"/>
    <n v="18"/>
    <x v="0"/>
    <n v="32"/>
    <n v="0.58689999999999998"/>
    <n v="65536"/>
    <n v="18360"/>
    <n v="0.7198"/>
    <n v="63"/>
    <n v="49.6"/>
    <b v="1"/>
    <n v="0.9"/>
    <n v="281"/>
    <n v="94"/>
    <n v="31"/>
    <n v="20.400000000000002"/>
    <n v="72.817777777777778"/>
    <n v="0.50295120062561927"/>
    <n v="2624.2025141517352"/>
    <n v="2.5739999999999998"/>
  </r>
  <r>
    <s v="alexnet"/>
    <s v="__module.features.3/aten::_convolution/Convolution"/>
    <x v="3"/>
    <n v="115"/>
    <n v="32"/>
    <n v="32"/>
    <n v="32"/>
    <n v="28"/>
    <n v="18"/>
    <n v="20"/>
    <x v="0"/>
    <n v="32"/>
    <n v="0.55079999999999996"/>
    <n v="65536"/>
    <n v="20160"/>
    <n v="0.69240000000000002"/>
    <n v="64"/>
    <n v="108.1"/>
    <b v="1"/>
    <n v="0.91428571400000003"/>
    <n v="282"/>
    <n v="94"/>
    <n v="30"/>
    <n v="22.05"/>
    <n v="71.680000000000007"/>
    <n v="0.49509258811584395"/>
    <n v="2583.1993498681145"/>
    <n v="2.6148571428571428"/>
  </r>
  <r>
    <s v="alexnet"/>
    <s v="__module.features.3/aten::_convolution/Convolution"/>
    <x v="3"/>
    <n v="116"/>
    <n v="32"/>
    <n v="32"/>
    <n v="32"/>
    <n v="28"/>
    <n v="18"/>
    <n v="20"/>
    <x v="0"/>
    <n v="32"/>
    <n v="0.55079999999999996"/>
    <n v="65536"/>
    <n v="20160"/>
    <n v="0.69240000000000002"/>
    <n v="64"/>
    <n v="39.4"/>
    <b v="1"/>
    <n v="0.91428571400000003"/>
    <n v="283"/>
    <n v="94"/>
    <n v="30"/>
    <n v="22.05"/>
    <n v="71.680000000000007"/>
    <n v="0.49509258811584395"/>
    <n v="2583.1993498681145"/>
    <n v="2.6148571428571428"/>
  </r>
  <r>
    <s v="alexnet"/>
    <s v="__module.features.3/aten::_convolution/Convolution"/>
    <x v="3"/>
    <n v="117"/>
    <n v="32"/>
    <n v="32"/>
    <n v="32"/>
    <n v="28"/>
    <n v="22"/>
    <n v="20"/>
    <x v="0"/>
    <n v="32"/>
    <n v="0.51170000000000004"/>
    <n v="65536"/>
    <n v="24640"/>
    <n v="0.624"/>
    <n v="68"/>
    <n v="48"/>
    <b v="1"/>
    <n v="0.97142857100000002"/>
    <n v="284"/>
    <n v="94"/>
    <n v="26"/>
    <n v="25.364705882352943"/>
    <n v="67.463529411764711"/>
    <n v="0.4659694946972649"/>
    <n v="2431.246446934696"/>
    <n v="2.778285714285714"/>
  </r>
  <r>
    <s v="alexnet"/>
    <s v="__module.features.3/aten::_convolution/Convolution"/>
    <x v="3"/>
    <n v="118"/>
    <n v="32"/>
    <n v="32"/>
    <n v="32"/>
    <n v="28"/>
    <n v="13"/>
    <n v="20"/>
    <x v="0"/>
    <n v="32"/>
    <n v="0.59960000000000002"/>
    <n v="65536"/>
    <n v="14560"/>
    <n v="0.77780000000000005"/>
    <n v="59"/>
    <n v="128.80000000000001"/>
    <b v="1"/>
    <n v="0.84285714300000003"/>
    <n v="285"/>
    <n v="94"/>
    <n v="35"/>
    <n v="17.274576271186444"/>
    <n v="77.754576271186451"/>
    <n v="0.5370495871087122"/>
    <n v="2802.11454900948"/>
    <n v="2.4105714285714286"/>
  </r>
  <r>
    <s v="alexnet"/>
    <s v="__module.features.3/aten::_convolution/Convolution"/>
    <x v="3"/>
    <n v="119"/>
    <n v="32"/>
    <n v="32"/>
    <n v="32"/>
    <n v="28"/>
    <n v="18"/>
    <n v="20"/>
    <x v="0"/>
    <n v="32"/>
    <n v="0.55079999999999996"/>
    <n v="65536"/>
    <n v="20160"/>
    <n v="0.69240000000000002"/>
    <n v="64"/>
    <n v="49.4"/>
    <b v="1"/>
    <n v="0.91428571400000003"/>
    <n v="286"/>
    <n v="94"/>
    <n v="30"/>
    <n v="22.05"/>
    <n v="71.680000000000007"/>
    <n v="0.49509258811584395"/>
    <n v="2583.1993498681145"/>
    <n v="2.6148571428571428"/>
  </r>
  <r>
    <s v="alexnet"/>
    <s v="__module.features.3/aten::_convolution/Convolution"/>
    <x v="3"/>
    <n v="120"/>
    <n v="32"/>
    <n v="32"/>
    <n v="32"/>
    <n v="28"/>
    <n v="17"/>
    <n v="20"/>
    <x v="0"/>
    <n v="32"/>
    <n v="0.5605"/>
    <n v="65536"/>
    <n v="19040"/>
    <n v="0.70950000000000002"/>
    <n v="63"/>
    <n v="45.3"/>
    <b v="1"/>
    <n v="0.9"/>
    <n v="287"/>
    <n v="94"/>
    <n v="31"/>
    <n v="21.155555555555559"/>
    <n v="72.817777777777778"/>
    <n v="0.50295120062561927"/>
    <n v="2624.2025141517352"/>
    <n v="2.5739999999999998"/>
  </r>
  <r>
    <s v="alexnet"/>
    <s v="__module.features.3/aten::_convolution/Convolution"/>
    <x v="3"/>
    <n v="121"/>
    <n v="32"/>
    <n v="32"/>
    <n v="32"/>
    <n v="30"/>
    <n v="18"/>
    <n v="22"/>
    <x v="0"/>
    <n v="32"/>
    <n v="0.4844"/>
    <n v="65536"/>
    <n v="23760"/>
    <n v="0.63749999999999996"/>
    <n v="68"/>
    <n v="46.8"/>
    <b v="1"/>
    <n v="0.97142857100000002"/>
    <n v="288"/>
    <n v="94"/>
    <n v="26"/>
    <n v="24.45882352941177"/>
    <n v="67.463529411764711"/>
    <n v="0.4659694946972649"/>
    <n v="2431.246446934696"/>
    <n v="2.778285714285714"/>
  </r>
  <r>
    <s v="alexnet"/>
    <s v="__module.features.3/aten::_convolution/Convolution"/>
    <x v="3"/>
    <n v="122"/>
    <n v="32"/>
    <n v="32"/>
    <n v="32"/>
    <n v="30"/>
    <n v="18"/>
    <n v="22"/>
    <x v="0"/>
    <n v="32"/>
    <n v="0.4844"/>
    <n v="65536"/>
    <n v="23760"/>
    <n v="0.63749999999999996"/>
    <n v="68"/>
    <n v="98.9"/>
    <b v="1"/>
    <n v="0.97142857100000002"/>
    <n v="289"/>
    <n v="94"/>
    <n v="26"/>
    <n v="24.45882352941177"/>
    <n v="67.463529411764711"/>
    <n v="0.4659694946972649"/>
    <n v="2431.246446934696"/>
    <n v="2.778285714285714"/>
  </r>
  <r>
    <s v="alexnet"/>
    <s v="__module.features.3/aten::_convolution/Convolution"/>
    <x v="3"/>
    <n v="123"/>
    <n v="32"/>
    <n v="32"/>
    <n v="32"/>
    <n v="30"/>
    <n v="22"/>
    <n v="22"/>
    <x v="0"/>
    <n v="32"/>
    <n v="0.44140000000000001"/>
    <n v="65536"/>
    <n v="29040"/>
    <n v="0.55689999999999995"/>
    <n v="72"/>
    <n v="90.9"/>
    <b v="1"/>
    <n v="1.0285714290000001"/>
    <n v="290"/>
    <n v="94"/>
    <n v="22"/>
    <n v="28.233333333333334"/>
    <n v="63.715555555555561"/>
    <n v="0.44008230054741687"/>
    <n v="2296.177199882768"/>
    <n v="2.9417142857142853"/>
  </r>
  <r>
    <s v="alexnet"/>
    <s v="__module.features.3/aten::_convolution/Convolution"/>
    <x v="3"/>
    <n v="124"/>
    <n v="32"/>
    <n v="32"/>
    <n v="32"/>
    <n v="30"/>
    <n v="13"/>
    <n v="22"/>
    <x v="0"/>
    <n v="32"/>
    <n v="0.53810000000000002"/>
    <n v="65536"/>
    <n v="17160"/>
    <n v="0.73819999999999997"/>
    <n v="63"/>
    <n v="48.1"/>
    <b v="1"/>
    <n v="0.9"/>
    <n v="291"/>
    <n v="94"/>
    <n v="31"/>
    <n v="19.06666666666667"/>
    <n v="72.817777777777778"/>
    <n v="0.50295120062561927"/>
    <n v="2624.2025141517352"/>
    <n v="2.5739999999999998"/>
  </r>
  <r>
    <s v="alexnet"/>
    <s v="__module.features.3/aten::_convolution/Convolution"/>
    <x v="3"/>
    <n v="125"/>
    <n v="32"/>
    <n v="32"/>
    <n v="32"/>
    <n v="30"/>
    <n v="18"/>
    <n v="22"/>
    <x v="0"/>
    <n v="32"/>
    <n v="0.4844"/>
    <n v="65536"/>
    <n v="23760"/>
    <n v="0.63749999999999996"/>
    <n v="68"/>
    <n v="60"/>
    <b v="1"/>
    <n v="0.97142857100000002"/>
    <n v="292"/>
    <n v="94"/>
    <n v="26"/>
    <n v="24.45882352941177"/>
    <n v="67.463529411764711"/>
    <n v="0.4659694946972649"/>
    <n v="2431.246446934696"/>
    <n v="2.778285714285714"/>
  </r>
  <r>
    <s v="alexnet"/>
    <s v="__module.features.3/aten::_convolution/Convolution"/>
    <x v="3"/>
    <n v="126"/>
    <n v="32"/>
    <n v="32"/>
    <n v="32"/>
    <n v="30"/>
    <n v="17"/>
    <n v="22"/>
    <x v="0"/>
    <n v="32"/>
    <n v="0.49509999999999998"/>
    <n v="65536"/>
    <n v="22440"/>
    <n v="0.65759999999999996"/>
    <n v="67"/>
    <n v="52.7"/>
    <b v="1"/>
    <n v="0.95714285700000001"/>
    <n v="293"/>
    <n v="94"/>
    <n v="27"/>
    <n v="23.444776119402988"/>
    <n v="68.470447761194038"/>
    <n v="0.47292426327483605"/>
    <n v="2467.5337073367064"/>
    <n v="2.7374285714285715"/>
  </r>
  <r>
    <s v="alexnet"/>
    <s v="__module.features.3/aten::_convolution/Convolution"/>
    <x v="3"/>
    <n v="127"/>
    <n v="32"/>
    <n v="32"/>
    <n v="32"/>
    <n v="29"/>
    <n v="18"/>
    <n v="26"/>
    <x v="0"/>
    <n v="32"/>
    <n v="0.40329999999999999"/>
    <n v="65536"/>
    <n v="27144"/>
    <n v="0.58579999999999999"/>
    <n v="71"/>
    <n v="47.5"/>
    <b v="1"/>
    <n v="1.0142857139999999"/>
    <n v="294"/>
    <n v="94"/>
    <n v="23"/>
    <n v="26.761690140845076"/>
    <n v="64.612957746478884"/>
    <n v="0.4462806428086481"/>
    <n v="2328.5177238247798"/>
    <n v="2.9008571428571428"/>
  </r>
  <r>
    <s v="alexnet"/>
    <s v="__module.features.3/aten::_convolution/Convolution"/>
    <x v="3"/>
    <n v="128"/>
    <n v="32"/>
    <n v="32"/>
    <n v="32"/>
    <n v="29"/>
    <n v="18"/>
    <n v="26"/>
    <x v="0"/>
    <n v="32"/>
    <n v="0.40329999999999999"/>
    <n v="65536"/>
    <n v="27144"/>
    <n v="0.58579999999999999"/>
    <n v="71"/>
    <n v="127"/>
    <b v="1"/>
    <n v="1.0142857139999999"/>
    <n v="295"/>
    <n v="94"/>
    <n v="23"/>
    <n v="26.761690140845076"/>
    <n v="64.612957746478884"/>
    <n v="0.4462806428086481"/>
    <n v="2328.5177238247798"/>
    <n v="2.9008571428571428"/>
  </r>
  <r>
    <s v="alexnet"/>
    <s v="__module.features.3/aten::_convolution/Convolution"/>
    <x v="3"/>
    <n v="129"/>
    <n v="32"/>
    <n v="32"/>
    <n v="32"/>
    <n v="29"/>
    <n v="22"/>
    <n v="26"/>
    <x v="0"/>
    <n v="32"/>
    <n v="0.35249999999999998"/>
    <n v="65536"/>
    <n v="33176"/>
    <n v="0.49380000000000002"/>
    <n v="75"/>
    <n v="58.1"/>
    <b v="1"/>
    <n v="1.071428571"/>
    <n v="296"/>
    <n v="94"/>
    <n v="19"/>
    <n v="30.964266666666671"/>
    <n v="61.16693333333334"/>
    <n v="0.42247900852552023"/>
    <n v="2204.3301118874574"/>
    <n v="3.0642857142857141"/>
  </r>
  <r>
    <s v="alexnet"/>
    <s v="__module.features.3/aten::_convolution/Convolution"/>
    <x v="3"/>
    <n v="130"/>
    <n v="32"/>
    <n v="32"/>
    <n v="32"/>
    <n v="29"/>
    <n v="13"/>
    <n v="26"/>
    <x v="0"/>
    <n v="32"/>
    <n v="0.46679999999999999"/>
    <n v="65536"/>
    <n v="19604"/>
    <n v="0.70089999999999997"/>
    <n v="66"/>
    <n v="89.2"/>
    <b v="1"/>
    <n v="0.94285714300000001"/>
    <n v="297"/>
    <n v="94"/>
    <n v="28"/>
    <n v="20.792121212121213"/>
    <n v="69.507878787878795"/>
    <n v="0.48008978241536382"/>
    <n v="2504.9205816902927"/>
    <n v="2.6965714285714286"/>
  </r>
  <r>
    <s v="alexnet"/>
    <s v="__module.features.3/aten::_convolution/Convolution"/>
    <x v="3"/>
    <n v="131"/>
    <n v="32"/>
    <n v="32"/>
    <n v="32"/>
    <n v="29"/>
    <n v="18"/>
    <n v="26"/>
    <x v="0"/>
    <n v="32"/>
    <n v="0.40329999999999999"/>
    <n v="65536"/>
    <n v="27144"/>
    <n v="0.58579999999999999"/>
    <n v="71"/>
    <n v="40"/>
    <b v="1"/>
    <n v="1.0142857139999999"/>
    <n v="298"/>
    <n v="94"/>
    <n v="23"/>
    <n v="26.761690140845076"/>
    <n v="64.612957746478884"/>
    <n v="0.4462806428086481"/>
    <n v="2328.5177238247798"/>
    <n v="2.9008571428571428"/>
  </r>
  <r>
    <s v="alexnet"/>
    <s v="__module.features.3/aten::_convolution/Convolution"/>
    <x v="3"/>
    <n v="132"/>
    <n v="32"/>
    <n v="32"/>
    <n v="32"/>
    <n v="29"/>
    <n v="17"/>
    <n v="26"/>
    <x v="0"/>
    <n v="32"/>
    <n v="0.41599999999999998"/>
    <n v="65536"/>
    <n v="25636"/>
    <n v="0.60880000000000001"/>
    <n v="70"/>
    <n v="47.8"/>
    <b v="1"/>
    <n v="1"/>
    <n v="299"/>
    <n v="94"/>
    <n v="24"/>
    <n v="25.636000000000003"/>
    <n v="65.536000000000001"/>
    <n v="0.45265608056305734"/>
    <n v="2361.7822627365617"/>
    <n v="2.86"/>
  </r>
  <r>
    <s v="alexnet"/>
    <s v="__module.features.3/aten::_convolution/Convolution"/>
    <x v="3"/>
    <n v="133"/>
    <n v="25"/>
    <n v="32"/>
    <n v="32"/>
    <n v="22"/>
    <n v="18"/>
    <n v="22"/>
    <x v="0"/>
    <n v="32"/>
    <n v="0.51749999999999996"/>
    <n v="51200"/>
    <n v="17424"/>
    <n v="0.65969999999999995"/>
    <n v="60"/>
    <n v="39.1"/>
    <b v="1"/>
    <n v="0.85714285700000004"/>
    <n v="300"/>
    <n v="87"/>
    <n v="27"/>
    <n v="20.327999999999999"/>
    <n v="59.733333333333341"/>
    <n v="0.41257715676320333"/>
    <n v="2152.6661248900955"/>
    <n v="2.4514285714285711"/>
  </r>
  <r>
    <s v="alexnet"/>
    <s v="__module.features.3/aten::_convolution/Convolution"/>
    <x v="3"/>
    <n v="134"/>
    <n v="25"/>
    <n v="32"/>
    <n v="32"/>
    <n v="22"/>
    <n v="18"/>
    <n v="22"/>
    <x v="0"/>
    <n v="32"/>
    <n v="0.51749999999999996"/>
    <n v="51200"/>
    <n v="17424"/>
    <n v="0.65969999999999995"/>
    <n v="60"/>
    <n v="61"/>
    <b v="1"/>
    <n v="0.85714285700000004"/>
    <n v="301"/>
    <n v="87"/>
    <n v="27"/>
    <n v="20.327999999999999"/>
    <n v="59.733333333333341"/>
    <n v="0.41257715676320333"/>
    <n v="2152.6661248900955"/>
    <n v="2.4514285714285711"/>
  </r>
  <r>
    <s v="alexnet"/>
    <s v="__module.features.3/aten::_convolution/Convolution"/>
    <x v="3"/>
    <n v="135"/>
    <n v="25"/>
    <n v="32"/>
    <n v="32"/>
    <n v="22"/>
    <n v="22"/>
    <n v="22"/>
    <x v="0"/>
    <n v="32"/>
    <n v="0.46929999999999999"/>
    <n v="51200"/>
    <n v="21296"/>
    <n v="0.58409999999999995"/>
    <n v="64"/>
    <n v="38.9"/>
    <b v="1"/>
    <n v="0.91428571400000003"/>
    <n v="302"/>
    <n v="87"/>
    <n v="23"/>
    <n v="23.292500000000004"/>
    <n v="56.000000000000007"/>
    <n v="0.38679108446550309"/>
    <n v="2018.1244920844645"/>
    <n v="2.6148571428571428"/>
  </r>
  <r>
    <s v="alexnet"/>
    <s v="__module.features.3/aten::_convolution/Convolution"/>
    <x v="3"/>
    <n v="136"/>
    <n v="25"/>
    <n v="32"/>
    <n v="32"/>
    <n v="22"/>
    <n v="13"/>
    <n v="22"/>
    <x v="0"/>
    <n v="32"/>
    <n v="0.57789999999999997"/>
    <n v="51200"/>
    <n v="12584"/>
    <n v="0.75419999999999998"/>
    <n v="55"/>
    <n v="66.8"/>
    <b v="1"/>
    <n v="0.78571428600000004"/>
    <n v="303"/>
    <n v="87"/>
    <n v="32"/>
    <n v="16.016000000000002"/>
    <n v="65.163636363636371"/>
    <n v="0.45008417101440362"/>
    <n v="2348.3630453346495"/>
    <n v="2.2471428571428569"/>
  </r>
  <r>
    <s v="alexnet"/>
    <s v="__module.features.3/aten::_convolution/Convolution"/>
    <x v="3"/>
    <n v="137"/>
    <n v="25"/>
    <n v="32"/>
    <n v="32"/>
    <n v="22"/>
    <n v="18"/>
    <n v="22"/>
    <x v="0"/>
    <n v="32"/>
    <n v="0.51749999999999996"/>
    <n v="51200"/>
    <n v="17424"/>
    <n v="0.65969999999999995"/>
    <n v="60"/>
    <n v="39.700000000000003"/>
    <b v="1"/>
    <n v="0.85714285700000004"/>
    <n v="304"/>
    <n v="87"/>
    <n v="27"/>
    <n v="20.327999999999999"/>
    <n v="59.733333333333341"/>
    <n v="0.41257715676320333"/>
    <n v="2152.6661248900955"/>
    <n v="2.4514285714285711"/>
  </r>
  <r>
    <s v="alexnet"/>
    <s v="__module.features.3/aten::_convolution/Convolution"/>
    <x v="3"/>
    <n v="138"/>
    <n v="25"/>
    <n v="32"/>
    <n v="32"/>
    <n v="22"/>
    <n v="17"/>
    <n v="22"/>
    <x v="0"/>
    <n v="32"/>
    <n v="0.52959999999999996"/>
    <n v="51200"/>
    <n v="16456"/>
    <n v="0.67859999999999998"/>
    <n v="59"/>
    <n v="45"/>
    <b v="1"/>
    <n v="0.84285714300000003"/>
    <n v="305"/>
    <n v="87"/>
    <n v="28"/>
    <n v="19.524067796610172"/>
    <n v="60.745762711864408"/>
    <n v="0.41956998992868128"/>
    <n v="2189.1519914136561"/>
    <n v="2.4105714285714286"/>
  </r>
  <r>
    <s v="alexnet"/>
    <s v="__module.features.0/aten::_convolution/Convolution"/>
    <x v="4"/>
    <n v="1"/>
    <n v="32"/>
    <n v="32"/>
    <n v="32"/>
    <n v="32"/>
    <n v="19"/>
    <n v="32"/>
    <x v="0"/>
    <n v="32"/>
    <n v="0.2031"/>
    <n v="65536"/>
    <n v="38912"/>
    <n v="0.40620000000000001"/>
    <n v="81"/>
    <n v="159.69999999999999"/>
    <b v="1"/>
    <n v="1.157142857"/>
    <n v="306"/>
    <n v="94"/>
    <n v="13"/>
    <n v="33.627654320987652"/>
    <n v="56.636049382716052"/>
    <n v="0.39118426715325944"/>
    <n v="2041.0463998957939"/>
    <n v="3.3094285714285716"/>
  </r>
  <r>
    <s v="alexnet"/>
    <s v="__module.features.0/aten::_convolution/Convolution"/>
    <x v="4"/>
    <n v="2"/>
    <n v="32"/>
    <n v="32"/>
    <n v="32"/>
    <n v="32"/>
    <n v="16"/>
    <n v="32"/>
    <x v="0"/>
    <n v="32"/>
    <n v="0.25"/>
    <n v="65536"/>
    <n v="32768"/>
    <n v="0.5"/>
    <n v="78"/>
    <n v="50.2"/>
    <b v="1"/>
    <n v="1.114285714"/>
    <n v="307"/>
    <n v="94"/>
    <n v="16"/>
    <n v="29.407179487179491"/>
    <n v="58.814358974358981"/>
    <n v="0.40622981588992324"/>
    <n v="2119.5481845071708"/>
    <n v="3.1868571428571433"/>
  </r>
  <r>
    <s v="alexnet"/>
    <s v="__module.features.0/aten::_convolution/Convolution"/>
    <x v="4"/>
    <n v="3"/>
    <n v="32"/>
    <n v="32"/>
    <n v="32"/>
    <n v="32"/>
    <n v="19"/>
    <n v="32"/>
    <x v="0"/>
    <n v="32"/>
    <n v="0.2031"/>
    <n v="65536"/>
    <n v="38912"/>
    <n v="0.40620000000000001"/>
    <n v="81"/>
    <n v="58.7"/>
    <b v="1"/>
    <n v="1.157142857"/>
    <n v="308"/>
    <n v="94"/>
    <n v="13"/>
    <n v="33.627654320987652"/>
    <n v="56.636049382716052"/>
    <n v="0.39118426715325944"/>
    <n v="2041.0463998957939"/>
    <n v="3.3094285714285716"/>
  </r>
  <r>
    <s v="alexnet"/>
    <s v="__module.features.0/aten::_convolution/Convolution"/>
    <x v="4"/>
    <n v="4"/>
    <n v="32"/>
    <n v="32"/>
    <n v="32"/>
    <n v="32"/>
    <n v="16"/>
    <n v="32"/>
    <x v="0"/>
    <n v="32"/>
    <n v="0.25"/>
    <n v="65536"/>
    <n v="32768"/>
    <n v="0.5"/>
    <n v="78"/>
    <n v="174"/>
    <b v="1"/>
    <n v="1.114285714"/>
    <n v="309"/>
    <n v="94"/>
    <n v="16"/>
    <n v="29.407179487179491"/>
    <n v="58.814358974358981"/>
    <n v="0.40622981588992324"/>
    <n v="2119.5481845071708"/>
    <n v="3.1868571428571433"/>
  </r>
  <r>
    <s v="alexnet"/>
    <s v="__module.features.0/aten::_convolution/Convolution"/>
    <x v="4"/>
    <n v="5"/>
    <n v="32"/>
    <n v="32"/>
    <n v="32"/>
    <n v="32"/>
    <n v="19"/>
    <n v="32"/>
    <x v="0"/>
    <n v="32"/>
    <n v="0.2031"/>
    <n v="65536"/>
    <n v="38912"/>
    <n v="0.40620000000000001"/>
    <n v="81"/>
    <n v="176"/>
    <b v="1"/>
    <n v="1.157142857"/>
    <n v="310"/>
    <n v="94"/>
    <n v="13"/>
    <n v="33.627654320987652"/>
    <n v="56.636049382716052"/>
    <n v="0.39118426715325944"/>
    <n v="2041.0463998957939"/>
    <n v="3.3094285714285716"/>
  </r>
  <r>
    <s v="alexnet"/>
    <s v="__module.features.0/aten::_convolution/Convolution"/>
    <x v="4"/>
    <n v="6"/>
    <n v="32"/>
    <n v="32"/>
    <n v="32"/>
    <n v="32"/>
    <n v="16"/>
    <n v="32"/>
    <x v="0"/>
    <n v="32"/>
    <n v="0.25"/>
    <n v="65536"/>
    <n v="32768"/>
    <n v="0.5"/>
    <n v="78"/>
    <n v="78.8"/>
    <b v="1"/>
    <n v="1.114285714"/>
    <n v="311"/>
    <n v="94"/>
    <n v="16"/>
    <n v="29.407179487179491"/>
    <n v="58.814358974358981"/>
    <n v="0.40622981588992324"/>
    <n v="2119.5481845071708"/>
    <n v="3.1868571428571433"/>
  </r>
  <r>
    <s v="alexnet"/>
    <s v="__module.features.0/aten::_convolution/Convolution"/>
    <x v="4"/>
    <n v="7"/>
    <n v="32"/>
    <n v="32"/>
    <n v="32"/>
    <n v="32"/>
    <n v="19"/>
    <n v="32"/>
    <x v="0"/>
    <n v="32"/>
    <n v="0.2031"/>
    <n v="65536"/>
    <n v="38912"/>
    <n v="0.40620000000000001"/>
    <n v="81"/>
    <n v="43.9"/>
    <b v="1"/>
    <n v="1.157142857"/>
    <n v="312"/>
    <n v="94"/>
    <n v="13"/>
    <n v="33.627654320987652"/>
    <n v="56.636049382716052"/>
    <n v="0.39118426715325944"/>
    <n v="2041.0463998957939"/>
    <n v="3.3094285714285716"/>
  </r>
  <r>
    <s v="alexnet"/>
    <s v="__module.features.0/aten::_convolution/Convolution"/>
    <x v="4"/>
    <n v="8"/>
    <n v="32"/>
    <n v="32"/>
    <n v="32"/>
    <n v="32"/>
    <n v="16"/>
    <n v="32"/>
    <x v="0"/>
    <n v="32"/>
    <n v="0.25"/>
    <n v="65536"/>
    <n v="32768"/>
    <n v="0.5"/>
    <n v="78"/>
    <n v="48.6"/>
    <b v="1"/>
    <n v="1.114285714"/>
    <n v="313"/>
    <n v="94"/>
    <n v="16"/>
    <n v="29.407179487179491"/>
    <n v="58.814358974358981"/>
    <n v="0.40622981588992324"/>
    <n v="2119.5481845071708"/>
    <n v="3.1868571428571433"/>
  </r>
  <r>
    <s v="alexnet"/>
    <s v="__module.features.0/aten::_convolution/Convolution"/>
    <x v="4"/>
    <n v="9"/>
    <n v="32"/>
    <n v="32"/>
    <n v="32"/>
    <n v="32"/>
    <n v="19"/>
    <n v="32"/>
    <x v="0"/>
    <n v="32"/>
    <n v="0.2031"/>
    <n v="65536"/>
    <n v="38912"/>
    <n v="0.40620000000000001"/>
    <n v="81"/>
    <n v="46.8"/>
    <b v="1"/>
    <n v="1.157142857"/>
    <n v="314"/>
    <n v="94"/>
    <n v="13"/>
    <n v="33.627654320987652"/>
    <n v="56.636049382716052"/>
    <n v="0.39118426715325944"/>
    <n v="2041.0463998957939"/>
    <n v="3.3094285714285716"/>
  </r>
  <r>
    <s v="alexnet"/>
    <s v="__module.features.0/aten::_convolution/Convolution"/>
    <x v="4"/>
    <n v="10"/>
    <n v="32"/>
    <n v="32"/>
    <n v="32"/>
    <n v="32"/>
    <n v="16"/>
    <n v="32"/>
    <x v="0"/>
    <n v="32"/>
    <n v="0.25"/>
    <n v="65536"/>
    <n v="32768"/>
    <n v="0.5"/>
    <n v="78"/>
    <n v="50"/>
    <b v="1"/>
    <n v="1.114285714"/>
    <n v="315"/>
    <n v="94"/>
    <n v="16"/>
    <n v="29.407179487179491"/>
    <n v="58.814358974358981"/>
    <n v="0.40622981588992324"/>
    <n v="2119.5481845071708"/>
    <n v="3.1868571428571433"/>
  </r>
  <r>
    <s v="alexnet"/>
    <s v="__module.features.0/aten::_convolution/Convolution"/>
    <x v="4"/>
    <n v="11"/>
    <n v="9"/>
    <n v="32"/>
    <n v="32"/>
    <n v="9"/>
    <n v="19"/>
    <n v="32"/>
    <x v="0"/>
    <n v="32"/>
    <n v="0.31709999999999999"/>
    <n v="18432"/>
    <n v="10944"/>
    <n v="0.40620000000000001"/>
    <n v="58"/>
    <n v="18.7"/>
    <b v="1"/>
    <n v="0.82857142900000003"/>
    <n v="316"/>
    <n v="71"/>
    <n v="13"/>
    <n v="13.208275862068966"/>
    <n v="22.245517241379314"/>
    <n v="0.15364942389802055"/>
    <n v="801.68255685562178"/>
    <n v="2.3697142857142857"/>
  </r>
  <r>
    <s v="alexnet"/>
    <s v="__module.features.0/aten::_convolution/Convolution"/>
    <x v="4"/>
    <n v="12"/>
    <n v="9"/>
    <n v="32"/>
    <n v="32"/>
    <n v="9"/>
    <n v="16"/>
    <n v="32"/>
    <x v="1"/>
    <n v="16"/>
    <n v="0.39019999999999999"/>
    <n v="18432"/>
    <n v="9216"/>
    <n v="0.5"/>
    <n v="55"/>
    <n v="58.5"/>
    <b v="0"/>
    <n v="0.78571428600000004"/>
    <n v="317"/>
    <n v="71"/>
    <n v="16"/>
    <n v="11.729454545454546"/>
    <n v="23.458909090909092"/>
    <n v="3.0794052364018234"/>
    <n v="4703.2489788340772"/>
    <n v="1.73642857142857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80D33-80E9-4822-AB6A-A8963520463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cycles" fld="16" subtotal="average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6AADD-3419-4D79-86CE-592572F378F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9" firstHeaderRow="0" firstDataRow="1" firstDataCol="1"/>
  <pivotFields count="28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ual-Core System (actual)" fld="16" baseField="0" baseItem="0"/>
    <dataField name="Latency Saved" fld="22" baseField="0" baseItem="0"/>
    <dataField name="Single-Core Baseline (Dense)" fld="21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2224B-A8E8-4B77-BF35-6601BE0830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0" firstHeaderRow="1" firstDataRow="2" firstDataCol="1"/>
  <pivotFields count="28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Average of Average of Area Efficiency Score" fld="25" subtotal="average" baseField="0" baseItem="0"/>
  </dataFields>
  <chartFormats count="4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5BDEF-4CAE-41AA-B05E-09CC13F23E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10" firstHeaderRow="1" firstDataRow="2" firstDataCol="1"/>
  <pivotFields count="28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Average of Power_Efficiency_Score" fld="26" subtotal="average" baseField="2" baseItem="0"/>
  </dataFields>
  <chartFormats count="4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97440-D83A-47C6-92F7-8CCAC15FD3A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28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nergy_mJ" fld="2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36817-7F9E-4A76-9B45-938C28EDF966}" name="Table1" displayName="Table1" ref="A1:AB319" totalsRowShown="0">
  <autoFilter ref="A1:AB319" xr:uid="{C1436817-7F9E-4A76-9B45-938C28EDF966}"/>
  <tableColumns count="28">
    <tableColumn id="1" xr3:uid="{7C117FE0-483E-4CCB-983A-C6346C44E326}" name="model"/>
    <tableColumn id="2" xr3:uid="{A6C1A650-3939-4A49-94F0-F11263AFCA75}" name="layer"/>
    <tableColumn id="3" xr3:uid="{0BF6CE08-4FDF-4A32-8B93-B8157D5B2DD9}" name="layer_idx"/>
    <tableColumn id="4" xr3:uid="{0F5BB88F-A7E8-4506-B527-26B4916205F0}" name="tile"/>
    <tableColumn id="5" xr3:uid="{A25A6873-E042-4F78-BA94-BC9AA840613E}" name="orig_m"/>
    <tableColumn id="6" xr3:uid="{51CE9DED-BCB1-4A40-BD3F-C56919354B48}" name="orig_n"/>
    <tableColumn id="7" xr3:uid="{2F86EE03-3143-421E-9D25-C4F67A1B027F}" name="orig_k"/>
    <tableColumn id="8" xr3:uid="{74B042F1-4850-4958-BC6E-5AA630DBEE83}" name="m"/>
    <tableColumn id="9" xr3:uid="{5330EEAA-DFED-49DE-ABF0-F78E614A7BF1}" name="n"/>
    <tableColumn id="10" xr3:uid="{8CCDE903-186E-40AE-A267-5E53C6BCBC49}" name="k"/>
    <tableColumn id="11" xr3:uid="{6C16928D-F571-4CED-A31D-07A47F9EC9CE}" name="config"/>
    <tableColumn id="12" xr3:uid="{5397B9EB-A0DC-4D55-AAE3-ACE76B5484D1}" name="sa_size"/>
    <tableColumn id="13" xr3:uid="{28F565F7-2E57-48DB-89C2-1B6D160FE36C}" name="sparsity"/>
    <tableColumn id="14" xr3:uid="{111CED7A-15B3-4676-80C4-C3276F82E677}" name="orig_macs"/>
    <tableColumn id="15" xr3:uid="{933C42CE-9C6E-4F6E-9A10-B5BE4400A5D0}" name="eff_macs"/>
    <tableColumn id="16" xr3:uid="{6C3F9B0C-F36B-43EE-B307-18AA13C25018}" name="mac_reduction"/>
    <tableColumn id="17" xr3:uid="{1C67D7F7-76EA-48DA-92E7-3127D173A8FD}" name="cycles"/>
    <tableColumn id="18" xr3:uid="{0A7BE738-C1D4-46FA-AA25-9715E24FD141}" name="cpu_us"/>
    <tableColumn id="19" xr3:uid="{5C67FC14-D51A-4BA8-9260-BABB66B448B2}" name="match"/>
    <tableColumn id="20" xr3:uid="{88429B74-DDEF-4F0F-8058-DAEB399EC7F6}" name="npu_us"/>
    <tableColumn id="21" xr3:uid="{639CBABA-CACF-488B-9F99-A0823BB6864E}" name="Tile idx"/>
    <tableColumn id="22" xr3:uid="{DAC4BB22-1AAC-4A0C-9647-5769B380EDB4}" name="Dense Baseline">
      <calculatedColumnFormula>Table1[[#This Row],[orig_m]]+Table1[[#This Row],[orig_n]]+Table1[[#This Row],[orig_k]]-2</calculatedColumnFormula>
    </tableColumn>
    <tableColumn id="23" xr3:uid="{5678FB05-E58A-48E7-A2B7-B0FA73B931D3}" name="Gap" dataDxfId="5">
      <calculatedColumnFormula>Table1[[#This Row],[Dense Baseline]]-Table1[[#This Row],[cycles]]</calculatedColumnFormula>
    </tableColumn>
    <tableColumn id="24" xr3:uid="{55A796EB-B40A-4DD4-A467-14C38A493C32}" name="HW Throughput (GOPS)" dataDxfId="4">
      <calculatedColumnFormula>(Table1[[#This Row],[eff_macs]]/Table1[[#This Row],[cycles]])*0.07</calculatedColumnFormula>
    </tableColumn>
    <tableColumn id="25" xr3:uid="{5C784E23-B2B8-4433-8495-CD5293F10231}" name="Dense-Equivalent Throughput (GOPS)" dataDxfId="3">
      <calculatedColumnFormula>(Table1[[#This Row],[orig_macs]]/Table1[[#This Row],[cycles]])*0.07</calculatedColumnFormula>
    </tableColumn>
    <tableColumn id="26" xr3:uid="{17BABA4B-F74B-46E6-A79F-42E9B3F0C111}" name="Average of Area Efficiency Score" dataDxfId="2">
      <calculatedColumnFormula>(Table1[[#This Row],[Dense-Equivalent Throughput (GOPS)]] / IF(Table1[[#This Row],[config]]=0,144781,7618)) * 1000</calculatedColumnFormula>
    </tableColumn>
    <tableColumn id="27" xr3:uid="{11CCEAE3-01EA-4F85-90E7-D29AC1F2CAF4}" name="Power_Efficiency_Score" dataDxfId="1">
      <calculatedColumnFormula>(Table1[[#This Row],[Dense-Equivalent Throughput (GOPS)]] / 654.74 )/ IF(Table1[[#This Row],[config]]=0, 42381, 7618) * 10^9</calculatedColumnFormula>
    </tableColumn>
    <tableColumn id="28" xr3:uid="{AA0A8260-175A-4E3C-94B8-F2723B69FDE9}" name="Energy_mJ" dataDxfId="0">
      <calculatedColumnFormula>IF(Table1[[#This Row],[config]]=0, 2860, 2210) * (Table1[[#This Row],[cycles]] / 70) / 1000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7C09-DE76-4FCF-A780-CC4967BF6F48}">
  <dimension ref="A3:B6"/>
  <sheetViews>
    <sheetView zoomScale="130" zoomScaleNormal="130" workbookViewId="0">
      <selection activeCell="F4" sqref="F4"/>
    </sheetView>
  </sheetViews>
  <sheetFormatPr defaultRowHeight="15" x14ac:dyDescent="0.25"/>
  <cols>
    <col min="1" max="1" width="13.42578125" bestFit="1" customWidth="1"/>
    <col min="2" max="2" width="16.7109375" bestFit="1" customWidth="1"/>
  </cols>
  <sheetData>
    <row r="3" spans="1:2" x14ac:dyDescent="0.25">
      <c r="A3" s="1" t="s">
        <v>27</v>
      </c>
      <c r="B3" t="s">
        <v>29</v>
      </c>
    </row>
    <row r="4" spans="1:2" x14ac:dyDescent="0.25">
      <c r="A4" s="2">
        <v>0</v>
      </c>
      <c r="B4">
        <v>59.45602605863192</v>
      </c>
    </row>
    <row r="5" spans="1:2" x14ac:dyDescent="0.25">
      <c r="A5" s="2">
        <v>1</v>
      </c>
      <c r="B5">
        <v>30.636363636363637</v>
      </c>
    </row>
    <row r="6" spans="1:2" x14ac:dyDescent="0.25">
      <c r="A6" s="2" t="s">
        <v>28</v>
      </c>
      <c r="B6">
        <v>58.459119496855344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F653-3412-4619-BD35-DE3F90002962}">
  <dimension ref="A3:D9"/>
  <sheetViews>
    <sheetView topLeftCell="A12" zoomScale="115" zoomScaleNormal="115" workbookViewId="0">
      <selection activeCell="C31" sqref="C31"/>
    </sheetView>
  </sheetViews>
  <sheetFormatPr defaultRowHeight="15" x14ac:dyDescent="0.25"/>
  <cols>
    <col min="1" max="1" width="13.42578125" bestFit="1" customWidth="1"/>
    <col min="2" max="2" width="25.140625" bestFit="1" customWidth="1"/>
    <col min="3" max="3" width="14" bestFit="1" customWidth="1"/>
    <col min="4" max="4" width="28.140625" bestFit="1" customWidth="1"/>
  </cols>
  <sheetData>
    <row r="3" spans="1:4" x14ac:dyDescent="0.25">
      <c r="A3" s="1" t="s">
        <v>27</v>
      </c>
      <c r="B3" t="s">
        <v>34</v>
      </c>
      <c r="C3" t="s">
        <v>33</v>
      </c>
      <c r="D3" t="s">
        <v>32</v>
      </c>
    </row>
    <row r="4" spans="1:4" x14ac:dyDescent="0.25">
      <c r="A4" s="2">
        <v>0</v>
      </c>
      <c r="B4">
        <v>2910</v>
      </c>
      <c r="C4">
        <v>1418</v>
      </c>
      <c r="D4">
        <v>4328</v>
      </c>
    </row>
    <row r="5" spans="1:4" x14ac:dyDescent="0.25">
      <c r="A5" s="2">
        <v>1</v>
      </c>
      <c r="B5">
        <v>2734</v>
      </c>
      <c r="C5">
        <v>1594</v>
      </c>
      <c r="D5">
        <v>4328</v>
      </c>
    </row>
    <row r="6" spans="1:4" x14ac:dyDescent="0.25">
      <c r="A6" s="2">
        <v>2</v>
      </c>
      <c r="B6">
        <v>2958</v>
      </c>
      <c r="C6">
        <v>3534</v>
      </c>
      <c r="D6">
        <v>6492</v>
      </c>
    </row>
    <row r="7" spans="1:4" x14ac:dyDescent="0.25">
      <c r="A7" s="2">
        <v>3</v>
      </c>
      <c r="B7">
        <v>9080</v>
      </c>
      <c r="C7">
        <v>3850</v>
      </c>
      <c r="D7">
        <v>12930</v>
      </c>
    </row>
    <row r="8" spans="1:4" x14ac:dyDescent="0.25">
      <c r="A8" s="2">
        <v>4</v>
      </c>
      <c r="B8">
        <v>908</v>
      </c>
      <c r="C8">
        <v>174</v>
      </c>
      <c r="D8">
        <v>1082</v>
      </c>
    </row>
    <row r="9" spans="1:4" x14ac:dyDescent="0.25">
      <c r="A9" s="2" t="s">
        <v>28</v>
      </c>
      <c r="B9">
        <v>18590</v>
      </c>
      <c r="C9">
        <v>10570</v>
      </c>
      <c r="D9">
        <v>29160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8005-F46B-41B4-8576-DF77F545B21F}">
  <dimension ref="A3:D10"/>
  <sheetViews>
    <sheetView zoomScale="115" zoomScaleNormal="115" workbookViewId="0">
      <selection activeCell="H29" sqref="H29"/>
    </sheetView>
  </sheetViews>
  <sheetFormatPr defaultRowHeight="15" x14ac:dyDescent="0.25"/>
  <cols>
    <col min="1" max="1" width="40.7109375" bestFit="1" customWidth="1"/>
    <col min="2" max="2" width="16.85546875" bestFit="1" customWidth="1"/>
    <col min="3" max="4" width="12" bestFit="1" customWidth="1"/>
  </cols>
  <sheetData>
    <row r="3" spans="1:4" x14ac:dyDescent="0.25">
      <c r="A3" s="1" t="s">
        <v>41</v>
      </c>
      <c r="B3" s="1" t="s">
        <v>38</v>
      </c>
    </row>
    <row r="4" spans="1:4" x14ac:dyDescent="0.25">
      <c r="A4" s="1" t="s">
        <v>27</v>
      </c>
      <c r="B4">
        <v>0</v>
      </c>
      <c r="C4">
        <v>1</v>
      </c>
      <c r="D4" t="s">
        <v>28</v>
      </c>
    </row>
    <row r="5" spans="1:4" x14ac:dyDescent="0.25">
      <c r="A5" s="2">
        <v>0</v>
      </c>
      <c r="B5">
        <v>0.45263232643441376</v>
      </c>
      <c r="C5">
        <v>5.2979014819816319</v>
      </c>
      <c r="D5">
        <v>0.6545185412488812</v>
      </c>
    </row>
    <row r="6" spans="1:4" x14ac:dyDescent="0.25">
      <c r="A6" s="2">
        <v>1</v>
      </c>
      <c r="B6">
        <v>0.48296569338866058</v>
      </c>
      <c r="C6">
        <v>5.8402513104172522</v>
      </c>
      <c r="D6">
        <v>0.70618592743151865</v>
      </c>
    </row>
    <row r="7" spans="1:4" x14ac:dyDescent="0.25">
      <c r="A7" s="2">
        <v>2</v>
      </c>
      <c r="B7">
        <v>0.67166816047913114</v>
      </c>
      <c r="C7">
        <v>13.965770390260586</v>
      </c>
      <c r="D7">
        <v>1.7795100129609187</v>
      </c>
    </row>
    <row r="8" spans="1:4" x14ac:dyDescent="0.25">
      <c r="A8" s="2">
        <v>3</v>
      </c>
      <c r="B8">
        <v>0.48050416675809493</v>
      </c>
      <c r="D8">
        <v>0.48050416675809493</v>
      </c>
    </row>
    <row r="9" spans="1:4" x14ac:dyDescent="0.25">
      <c r="A9" s="2">
        <v>4</v>
      </c>
      <c r="B9">
        <v>0.37642907628308497</v>
      </c>
      <c r="C9">
        <v>3.0794052364018234</v>
      </c>
      <c r="D9">
        <v>0.60167708962631317</v>
      </c>
    </row>
    <row r="10" spans="1:4" x14ac:dyDescent="0.25">
      <c r="A10" s="2" t="s">
        <v>28</v>
      </c>
      <c r="B10">
        <v>0.51406482851861701</v>
      </c>
      <c r="C10">
        <v>9.9227575602511919</v>
      </c>
      <c r="D10">
        <v>0.8395227532011893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8B9A-271C-4315-93EF-D12FD1A6EDCF}">
  <dimension ref="A3:D10"/>
  <sheetViews>
    <sheetView zoomScale="115" zoomScaleNormal="115" workbookViewId="0">
      <selection activeCell="J13" sqref="J13"/>
    </sheetView>
  </sheetViews>
  <sheetFormatPr defaultRowHeight="15" x14ac:dyDescent="0.25"/>
  <cols>
    <col min="1" max="1" width="33" bestFit="1" customWidth="1"/>
    <col min="2" max="2" width="16.85546875" bestFit="1" customWidth="1"/>
    <col min="3" max="4" width="13.42578125" bestFit="1" customWidth="1"/>
  </cols>
  <sheetData>
    <row r="3" spans="1:4" x14ac:dyDescent="0.25">
      <c r="A3" s="1" t="s">
        <v>40</v>
      </c>
      <c r="B3" s="1" t="s">
        <v>38</v>
      </c>
    </row>
    <row r="4" spans="1:4" x14ac:dyDescent="0.25">
      <c r="A4" s="1" t="s">
        <v>27</v>
      </c>
      <c r="B4">
        <v>0</v>
      </c>
      <c r="C4">
        <v>1</v>
      </c>
      <c r="D4" t="s">
        <v>28</v>
      </c>
    </row>
    <row r="5" spans="1:4" x14ac:dyDescent="0.25">
      <c r="A5" s="2">
        <v>0</v>
      </c>
      <c r="B5">
        <v>2361.6583229904572</v>
      </c>
      <c r="C5">
        <v>8091.6111463812085</v>
      </c>
      <c r="D5">
        <v>2600.4063572984055</v>
      </c>
    </row>
    <row r="6" spans="1:4" x14ac:dyDescent="0.25">
      <c r="A6" s="2">
        <v>1</v>
      </c>
      <c r="B6">
        <v>2519.9259595424874</v>
      </c>
      <c r="C6">
        <v>8919.9549598577323</v>
      </c>
      <c r="D6">
        <v>2786.5938345556224</v>
      </c>
    </row>
    <row r="7" spans="1:4" x14ac:dyDescent="0.25">
      <c r="A7" s="2">
        <v>2</v>
      </c>
      <c r="B7">
        <v>3504.5015763209713</v>
      </c>
      <c r="C7">
        <v>21330.253826344178</v>
      </c>
      <c r="D7">
        <v>4989.9809304895716</v>
      </c>
    </row>
    <row r="8" spans="1:4" x14ac:dyDescent="0.25">
      <c r="A8" s="2">
        <v>3</v>
      </c>
      <c r="B8">
        <v>2507.0826770042477</v>
      </c>
      <c r="D8">
        <v>2507.0826770042477</v>
      </c>
    </row>
    <row r="9" spans="1:4" x14ac:dyDescent="0.25">
      <c r="A9" s="2">
        <v>4</v>
      </c>
      <c r="B9">
        <v>1964.059588988222</v>
      </c>
      <c r="C9">
        <v>4703.2489788340772</v>
      </c>
      <c r="D9">
        <v>2192.3253714753769</v>
      </c>
    </row>
    <row r="10" spans="1:4" x14ac:dyDescent="0.25">
      <c r="A10" s="2" t="s">
        <v>28</v>
      </c>
      <c r="B10">
        <v>2682.1890747203797</v>
      </c>
      <c r="C10">
        <v>15155.264013579726</v>
      </c>
      <c r="D10">
        <v>3113.6476417878403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7C9E-5AE8-4EA9-93BF-583E7B25BA16}">
  <dimension ref="A3:B9"/>
  <sheetViews>
    <sheetView topLeftCell="C1" zoomScale="130" zoomScaleNormal="130" workbookViewId="0">
      <selection activeCell="G18" sqref="G18"/>
    </sheetView>
  </sheetViews>
  <sheetFormatPr defaultRowHeight="15" x14ac:dyDescent="0.25"/>
  <cols>
    <col min="1" max="1" width="13.42578125" bestFit="1" customWidth="1"/>
    <col min="2" max="2" width="17.42578125" bestFit="1" customWidth="1"/>
  </cols>
  <sheetData>
    <row r="3" spans="1:2" x14ac:dyDescent="0.25">
      <c r="A3" s="1" t="s">
        <v>27</v>
      </c>
      <c r="B3" t="s">
        <v>43</v>
      </c>
    </row>
    <row r="4" spans="1:2" x14ac:dyDescent="0.25">
      <c r="A4" s="2">
        <v>0</v>
      </c>
      <c r="B4">
        <v>118.29999999999998</v>
      </c>
    </row>
    <row r="5" spans="1:2" x14ac:dyDescent="0.25">
      <c r="A5" s="2">
        <v>1</v>
      </c>
      <c r="B5">
        <v>111.16485714285714</v>
      </c>
    </row>
    <row r="6" spans="1:2" x14ac:dyDescent="0.25">
      <c r="A6" s="2">
        <v>2</v>
      </c>
      <c r="B6">
        <v>119.36971428571428</v>
      </c>
    </row>
    <row r="7" spans="1:2" x14ac:dyDescent="0.25">
      <c r="A7" s="2">
        <v>3</v>
      </c>
      <c r="B7">
        <v>370.98285714285697</v>
      </c>
    </row>
    <row r="8" spans="1:2" x14ac:dyDescent="0.25">
      <c r="A8" s="2">
        <v>4</v>
      </c>
      <c r="B8">
        <v>36.587571428571437</v>
      </c>
    </row>
    <row r="9" spans="1:2" x14ac:dyDescent="0.25">
      <c r="A9" s="2" t="s">
        <v>28</v>
      </c>
      <c r="B9">
        <v>756.40499999999975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6AD4-781B-46E3-ADD3-76DF7613A4D6}">
  <dimension ref="A1:AB319"/>
  <sheetViews>
    <sheetView tabSelected="1" topLeftCell="Y37" zoomScaleNormal="100" workbookViewId="0">
      <selection activeCell="AJ68" sqref="AJ68"/>
    </sheetView>
  </sheetViews>
  <sheetFormatPr defaultRowHeight="15" x14ac:dyDescent="0.25"/>
  <cols>
    <col min="1" max="1" width="10.140625" customWidth="1"/>
    <col min="2" max="2" width="16.5703125" customWidth="1"/>
    <col min="3" max="3" width="10.42578125" customWidth="1"/>
    <col min="13" max="13" width="23.42578125" customWidth="1"/>
    <col min="14" max="14" width="11.42578125" customWidth="1"/>
    <col min="15" max="15" width="10.42578125" customWidth="1"/>
    <col min="16" max="16" width="15.42578125" customWidth="1"/>
    <col min="21" max="21" width="14.140625" customWidth="1"/>
    <col min="22" max="22" width="27.85546875" customWidth="1"/>
    <col min="23" max="23" width="18.85546875" customWidth="1"/>
    <col min="24" max="24" width="31.5703125" customWidth="1"/>
    <col min="25" max="25" width="41" customWidth="1"/>
    <col min="26" max="26" width="31.85546875" customWidth="1"/>
    <col min="27" max="27" width="27.42578125" customWidth="1"/>
    <col min="28" max="28" width="16.42578125" customWidth="1"/>
    <col min="29" max="29" width="24.28515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26</v>
      </c>
      <c r="V1" t="s">
        <v>30</v>
      </c>
      <c r="W1" t="s">
        <v>31</v>
      </c>
      <c r="X1" t="s">
        <v>35</v>
      </c>
      <c r="Y1" t="s">
        <v>36</v>
      </c>
      <c r="Z1" t="s">
        <v>37</v>
      </c>
      <c r="AA1" t="s">
        <v>39</v>
      </c>
      <c r="AB1" t="s">
        <v>42</v>
      </c>
    </row>
    <row r="2" spans="1:28" x14ac:dyDescent="0.25">
      <c r="A2" t="s">
        <v>20</v>
      </c>
      <c r="B2" t="s">
        <v>21</v>
      </c>
      <c r="C2">
        <v>0</v>
      </c>
      <c r="D2">
        <v>1</v>
      </c>
      <c r="E2">
        <v>32</v>
      </c>
      <c r="F2">
        <v>32</v>
      </c>
      <c r="G2">
        <v>32</v>
      </c>
      <c r="H2">
        <v>32</v>
      </c>
      <c r="I2">
        <v>19</v>
      </c>
      <c r="J2">
        <v>18</v>
      </c>
      <c r="K2">
        <v>0</v>
      </c>
      <c r="L2">
        <v>32</v>
      </c>
      <c r="M2">
        <v>0.55179999999999996</v>
      </c>
      <c r="N2">
        <v>65536</v>
      </c>
      <c r="O2">
        <v>21888</v>
      </c>
      <c r="P2">
        <v>0.66600000000000004</v>
      </c>
      <c r="Q2">
        <v>67</v>
      </c>
      <c r="R2">
        <v>41.1</v>
      </c>
      <c r="S2" t="b">
        <v>1</v>
      </c>
      <c r="T2">
        <v>0.95714285700000001</v>
      </c>
      <c r="U2">
        <v>0</v>
      </c>
      <c r="V2">
        <f>Table1[[#This Row],[orig_m]]+Table1[[#This Row],[orig_n]]+Table1[[#This Row],[orig_k]]-2</f>
        <v>94</v>
      </c>
      <c r="W2">
        <f>Table1[[#This Row],[Dense Baseline]]-Table1[[#This Row],[cycles]]</f>
        <v>27</v>
      </c>
      <c r="X2">
        <f>(Table1[[#This Row],[eff_macs]]/Table1[[#This Row],[cycles]])*0.07</f>
        <v>22.868059701492541</v>
      </c>
      <c r="Y2">
        <f>(Table1[[#This Row],[orig_macs]]/Table1[[#This Row],[cycles]])*0.07</f>
        <v>68.470447761194038</v>
      </c>
      <c r="Z2">
        <f>(Table1[[#This Row],[Dense-Equivalent Throughput (GOPS)]] / IF(Table1[[#This Row],[config]]=0,144781,7618)) * 1000</f>
        <v>0.47292426327483605</v>
      </c>
      <c r="AA2">
        <f>(Table1[[#This Row],[Dense-Equivalent Throughput (GOPS)]] / 654.74 )/ IF(Table1[[#This Row],[config]]=0, 42381, 7618) * 10^9</f>
        <v>2467.5337073367064</v>
      </c>
      <c r="AB2">
        <f>IF(Table1[[#This Row],[config]]=0, 2860, 2210) * (Table1[[#This Row],[cycles]] / 70) / 1000</f>
        <v>2.7374285714285715</v>
      </c>
    </row>
    <row r="3" spans="1:28" x14ac:dyDescent="0.25">
      <c r="A3" t="s">
        <v>20</v>
      </c>
      <c r="B3" t="s">
        <v>21</v>
      </c>
      <c r="C3">
        <v>0</v>
      </c>
      <c r="D3">
        <v>2</v>
      </c>
      <c r="E3">
        <v>32</v>
      </c>
      <c r="F3">
        <v>32</v>
      </c>
      <c r="G3">
        <v>32</v>
      </c>
      <c r="H3">
        <v>32</v>
      </c>
      <c r="I3">
        <v>17</v>
      </c>
      <c r="J3">
        <v>18</v>
      </c>
      <c r="K3">
        <v>0</v>
      </c>
      <c r="L3">
        <v>32</v>
      </c>
      <c r="M3">
        <v>0.56930000000000003</v>
      </c>
      <c r="N3">
        <v>65536</v>
      </c>
      <c r="O3">
        <v>19584</v>
      </c>
      <c r="P3">
        <v>0.70120000000000005</v>
      </c>
      <c r="Q3">
        <v>65</v>
      </c>
      <c r="R3">
        <v>105.9</v>
      </c>
      <c r="S3" t="b">
        <v>1</v>
      </c>
      <c r="T3">
        <v>0.928571429</v>
      </c>
      <c r="U3">
        <v>1</v>
      </c>
      <c r="V3">
        <f>Table1[[#This Row],[orig_m]]+Table1[[#This Row],[orig_n]]+Table1[[#This Row],[orig_k]]-2</f>
        <v>94</v>
      </c>
      <c r="W3">
        <f>Table1[[#This Row],[Dense Baseline]]-Table1[[#This Row],[cycles]]</f>
        <v>29</v>
      </c>
      <c r="X3">
        <f>(Table1[[#This Row],[eff_macs]]/Table1[[#This Row],[cycles]])*0.07</f>
        <v>21.09046153846154</v>
      </c>
      <c r="Y3">
        <f>(Table1[[#This Row],[orig_macs]]/Table1[[#This Row],[cycles]])*0.07</f>
        <v>70.577230769230781</v>
      </c>
      <c r="Z3">
        <f>(Table1[[#This Row],[Dense-Equivalent Throughput (GOPS)]] / IF(Table1[[#This Row],[config]]=0,144781,7618)) * 1000</f>
        <v>0.48747577906790795</v>
      </c>
      <c r="AA3">
        <f>(Table1[[#This Row],[Dense-Equivalent Throughput (GOPS)]] / 654.74 )/ IF(Table1[[#This Row],[config]]=0, 42381, 7618) * 10^9</f>
        <v>2543.457821408605</v>
      </c>
      <c r="AB3">
        <f>IF(Table1[[#This Row],[config]]=0, 2860, 2210) * (Table1[[#This Row],[cycles]] / 70) / 1000</f>
        <v>2.6557142857142857</v>
      </c>
    </row>
    <row r="4" spans="1:28" x14ac:dyDescent="0.25">
      <c r="A4" t="s">
        <v>20</v>
      </c>
      <c r="B4" t="s">
        <v>21</v>
      </c>
      <c r="C4">
        <v>0</v>
      </c>
      <c r="D4">
        <v>3</v>
      </c>
      <c r="E4">
        <v>32</v>
      </c>
      <c r="F4">
        <v>32</v>
      </c>
      <c r="G4">
        <v>32</v>
      </c>
      <c r="H4">
        <v>32</v>
      </c>
      <c r="I4">
        <v>12</v>
      </c>
      <c r="J4">
        <v>18</v>
      </c>
      <c r="K4">
        <v>0</v>
      </c>
      <c r="L4">
        <v>32</v>
      </c>
      <c r="M4">
        <v>0.61329999999999996</v>
      </c>
      <c r="N4">
        <v>65536</v>
      </c>
      <c r="O4">
        <v>13824</v>
      </c>
      <c r="P4">
        <v>0.78910000000000002</v>
      </c>
      <c r="Q4">
        <v>60</v>
      </c>
      <c r="R4">
        <v>83.8</v>
      </c>
      <c r="S4" t="b">
        <v>1</v>
      </c>
      <c r="T4">
        <v>0.85714285700000004</v>
      </c>
      <c r="U4">
        <v>2</v>
      </c>
      <c r="V4">
        <f>Table1[[#This Row],[orig_m]]+Table1[[#This Row],[orig_n]]+Table1[[#This Row],[orig_k]]-2</f>
        <v>94</v>
      </c>
      <c r="W4">
        <f>Table1[[#This Row],[Dense Baseline]]-Table1[[#This Row],[cycles]]</f>
        <v>34</v>
      </c>
      <c r="X4">
        <f>(Table1[[#This Row],[eff_macs]]/Table1[[#This Row],[cycles]])*0.07</f>
        <v>16.128000000000004</v>
      </c>
      <c r="Y4">
        <f>(Table1[[#This Row],[orig_macs]]/Table1[[#This Row],[cycles]])*0.07</f>
        <v>76.458666666666673</v>
      </c>
      <c r="Z4">
        <f>(Table1[[#This Row],[Dense-Equivalent Throughput (GOPS)]] / IF(Table1[[#This Row],[config]]=0,144781,7618)) * 1000</f>
        <v>0.52809876065690031</v>
      </c>
      <c r="AA4">
        <f>(Table1[[#This Row],[Dense-Equivalent Throughput (GOPS)]] / 654.74 )/ IF(Table1[[#This Row],[config]]=0, 42381, 7618) * 10^9</f>
        <v>2755.4126398593216</v>
      </c>
      <c r="AB4">
        <f>IF(Table1[[#This Row],[config]]=0, 2860, 2210) * (Table1[[#This Row],[cycles]] / 70) / 1000</f>
        <v>2.4514285714285711</v>
      </c>
    </row>
    <row r="5" spans="1:28" x14ac:dyDescent="0.25">
      <c r="A5" t="s">
        <v>20</v>
      </c>
      <c r="B5" t="s">
        <v>21</v>
      </c>
      <c r="C5">
        <v>0</v>
      </c>
      <c r="D5">
        <v>4</v>
      </c>
      <c r="E5">
        <v>32</v>
      </c>
      <c r="F5">
        <v>32</v>
      </c>
      <c r="G5">
        <v>32</v>
      </c>
      <c r="H5">
        <v>32</v>
      </c>
      <c r="I5">
        <v>17</v>
      </c>
      <c r="J5">
        <v>18</v>
      </c>
      <c r="K5">
        <v>0</v>
      </c>
      <c r="L5">
        <v>32</v>
      </c>
      <c r="M5">
        <v>0.56930000000000003</v>
      </c>
      <c r="N5">
        <v>65536</v>
      </c>
      <c r="O5">
        <v>19584</v>
      </c>
      <c r="P5">
        <v>0.70120000000000005</v>
      </c>
      <c r="Q5">
        <v>65</v>
      </c>
      <c r="R5">
        <v>39.799999999999997</v>
      </c>
      <c r="S5" t="b">
        <v>1</v>
      </c>
      <c r="T5">
        <v>0.928571429</v>
      </c>
      <c r="U5">
        <v>3</v>
      </c>
      <c r="V5">
        <f>Table1[[#This Row],[orig_m]]+Table1[[#This Row],[orig_n]]+Table1[[#This Row],[orig_k]]-2</f>
        <v>94</v>
      </c>
      <c r="W5">
        <f>Table1[[#This Row],[Dense Baseline]]-Table1[[#This Row],[cycles]]</f>
        <v>29</v>
      </c>
      <c r="X5">
        <f>(Table1[[#This Row],[eff_macs]]/Table1[[#This Row],[cycles]])*0.07</f>
        <v>21.09046153846154</v>
      </c>
      <c r="Y5">
        <f>(Table1[[#This Row],[orig_macs]]/Table1[[#This Row],[cycles]])*0.07</f>
        <v>70.577230769230781</v>
      </c>
      <c r="Z5">
        <f>(Table1[[#This Row],[Dense-Equivalent Throughput (GOPS)]] / IF(Table1[[#This Row],[config]]=0,144781,7618)) * 1000</f>
        <v>0.48747577906790795</v>
      </c>
      <c r="AA5">
        <f>(Table1[[#This Row],[Dense-Equivalent Throughput (GOPS)]] / 654.74 )/ IF(Table1[[#This Row],[config]]=0, 42381, 7618) * 10^9</f>
        <v>2543.457821408605</v>
      </c>
      <c r="AB5">
        <f>IF(Table1[[#This Row],[config]]=0, 2860, 2210) * (Table1[[#This Row],[cycles]] / 70) / 1000</f>
        <v>2.6557142857142857</v>
      </c>
    </row>
    <row r="6" spans="1:28" x14ac:dyDescent="0.25">
      <c r="A6" t="s">
        <v>20</v>
      </c>
      <c r="B6" t="s">
        <v>21</v>
      </c>
      <c r="C6">
        <v>0</v>
      </c>
      <c r="D6">
        <v>5</v>
      </c>
      <c r="E6">
        <v>32</v>
      </c>
      <c r="F6">
        <v>32</v>
      </c>
      <c r="G6">
        <v>32</v>
      </c>
      <c r="H6">
        <v>32</v>
      </c>
      <c r="I6">
        <v>21</v>
      </c>
      <c r="J6">
        <v>18</v>
      </c>
      <c r="K6">
        <v>0</v>
      </c>
      <c r="L6">
        <v>32</v>
      </c>
      <c r="M6">
        <v>0.53420000000000001</v>
      </c>
      <c r="N6">
        <v>65536</v>
      </c>
      <c r="O6">
        <v>24192</v>
      </c>
      <c r="P6">
        <v>0.63090000000000002</v>
      </c>
      <c r="Q6">
        <v>69</v>
      </c>
      <c r="R6">
        <v>63.1</v>
      </c>
      <c r="S6" t="b">
        <v>1</v>
      </c>
      <c r="T6">
        <v>0.985714286</v>
      </c>
      <c r="U6">
        <v>4</v>
      </c>
      <c r="V6">
        <f>Table1[[#This Row],[orig_m]]+Table1[[#This Row],[orig_n]]+Table1[[#This Row],[orig_k]]-2</f>
        <v>94</v>
      </c>
      <c r="W6">
        <f>Table1[[#This Row],[Dense Baseline]]-Table1[[#This Row],[cycles]]</f>
        <v>25</v>
      </c>
      <c r="X6">
        <f>(Table1[[#This Row],[eff_macs]]/Table1[[#This Row],[cycles]])*0.07</f>
        <v>24.542608695652177</v>
      </c>
      <c r="Y6">
        <f>(Table1[[#This Row],[orig_macs]]/Table1[[#This Row],[cycles]])*0.07</f>
        <v>66.485797101449279</v>
      </c>
      <c r="Z6">
        <f>(Table1[[#This Row],[Dense-Equivalent Throughput (GOPS)]] / IF(Table1[[#This Row],[config]]=0,144781,7618)) * 1000</f>
        <v>0.45921631361469584</v>
      </c>
      <c r="AA6">
        <f>(Table1[[#This Row],[Dense-Equivalent Throughput (GOPS)]] / 654.74 )/ IF(Table1[[#This Row],[config]]=0, 42381, 7618) * 10^9</f>
        <v>2396.0109911820191</v>
      </c>
      <c r="AB6">
        <f>IF(Table1[[#This Row],[config]]=0, 2860, 2210) * (Table1[[#This Row],[cycles]] / 70) / 1000</f>
        <v>2.8191428571428574</v>
      </c>
    </row>
    <row r="7" spans="1:28" x14ac:dyDescent="0.25">
      <c r="A7" t="s">
        <v>20</v>
      </c>
      <c r="B7" t="s">
        <v>21</v>
      </c>
      <c r="C7">
        <v>0</v>
      </c>
      <c r="D7">
        <v>6</v>
      </c>
      <c r="E7">
        <v>32</v>
      </c>
      <c r="F7">
        <v>32</v>
      </c>
      <c r="G7">
        <v>32</v>
      </c>
      <c r="H7">
        <v>32</v>
      </c>
      <c r="I7">
        <v>20</v>
      </c>
      <c r="J7">
        <v>18</v>
      </c>
      <c r="K7">
        <v>0</v>
      </c>
      <c r="L7">
        <v>32</v>
      </c>
      <c r="M7">
        <v>0.54300000000000004</v>
      </c>
      <c r="N7">
        <v>65536</v>
      </c>
      <c r="O7">
        <v>23040</v>
      </c>
      <c r="P7">
        <v>0.64839999999999998</v>
      </c>
      <c r="Q7">
        <v>68</v>
      </c>
      <c r="R7">
        <v>38.299999999999997</v>
      </c>
      <c r="S7" t="b">
        <v>1</v>
      </c>
      <c r="T7">
        <v>0.97142857100000002</v>
      </c>
      <c r="U7">
        <v>5</v>
      </c>
      <c r="V7">
        <f>Table1[[#This Row],[orig_m]]+Table1[[#This Row],[orig_n]]+Table1[[#This Row],[orig_k]]-2</f>
        <v>94</v>
      </c>
      <c r="W7">
        <f>Table1[[#This Row],[Dense Baseline]]-Table1[[#This Row],[cycles]]</f>
        <v>26</v>
      </c>
      <c r="X7">
        <f>(Table1[[#This Row],[eff_macs]]/Table1[[#This Row],[cycles]])*0.07</f>
        <v>23.71764705882353</v>
      </c>
      <c r="Y7">
        <f>(Table1[[#This Row],[orig_macs]]/Table1[[#This Row],[cycles]])*0.07</f>
        <v>67.463529411764711</v>
      </c>
      <c r="Z7">
        <f>(Table1[[#This Row],[Dense-Equivalent Throughput (GOPS)]] / IF(Table1[[#This Row],[config]]=0,144781,7618)) * 1000</f>
        <v>0.4659694946972649</v>
      </c>
      <c r="AA7">
        <f>(Table1[[#This Row],[Dense-Equivalent Throughput (GOPS)]] / 654.74 )/ IF(Table1[[#This Row],[config]]=0, 42381, 7618) * 10^9</f>
        <v>2431.246446934696</v>
      </c>
      <c r="AB7">
        <f>IF(Table1[[#This Row],[config]]=0, 2860, 2210) * (Table1[[#This Row],[cycles]] / 70) / 1000</f>
        <v>2.778285714285714</v>
      </c>
    </row>
    <row r="8" spans="1:28" x14ac:dyDescent="0.25">
      <c r="A8" t="s">
        <v>20</v>
      </c>
      <c r="B8" t="s">
        <v>21</v>
      </c>
      <c r="C8">
        <v>0</v>
      </c>
      <c r="D8">
        <v>7</v>
      </c>
      <c r="E8">
        <v>32</v>
      </c>
      <c r="F8">
        <v>32</v>
      </c>
      <c r="G8">
        <v>32</v>
      </c>
      <c r="H8">
        <v>32</v>
      </c>
      <c r="I8">
        <v>21</v>
      </c>
      <c r="J8">
        <v>18</v>
      </c>
      <c r="K8">
        <v>0</v>
      </c>
      <c r="L8">
        <v>32</v>
      </c>
      <c r="M8">
        <v>0.53420000000000001</v>
      </c>
      <c r="N8">
        <v>65536</v>
      </c>
      <c r="O8">
        <v>24192</v>
      </c>
      <c r="P8">
        <v>0.63090000000000002</v>
      </c>
      <c r="Q8">
        <v>69</v>
      </c>
      <c r="R8">
        <v>50</v>
      </c>
      <c r="S8" t="b">
        <v>1</v>
      </c>
      <c r="T8">
        <v>0.985714286</v>
      </c>
      <c r="U8">
        <v>6</v>
      </c>
      <c r="V8">
        <f>Table1[[#This Row],[orig_m]]+Table1[[#This Row],[orig_n]]+Table1[[#This Row],[orig_k]]-2</f>
        <v>94</v>
      </c>
      <c r="W8">
        <f>Table1[[#This Row],[Dense Baseline]]-Table1[[#This Row],[cycles]]</f>
        <v>25</v>
      </c>
      <c r="X8">
        <f>(Table1[[#This Row],[eff_macs]]/Table1[[#This Row],[cycles]])*0.07</f>
        <v>24.542608695652177</v>
      </c>
      <c r="Y8">
        <f>(Table1[[#This Row],[orig_macs]]/Table1[[#This Row],[cycles]])*0.07</f>
        <v>66.485797101449279</v>
      </c>
      <c r="Z8">
        <f>(Table1[[#This Row],[Dense-Equivalent Throughput (GOPS)]] / IF(Table1[[#This Row],[config]]=0,144781,7618)) * 1000</f>
        <v>0.45921631361469584</v>
      </c>
      <c r="AA8">
        <f>(Table1[[#This Row],[Dense-Equivalent Throughput (GOPS)]] / 654.74 )/ IF(Table1[[#This Row],[config]]=0, 42381, 7618) * 10^9</f>
        <v>2396.0109911820191</v>
      </c>
      <c r="AB8">
        <f>IF(Table1[[#This Row],[config]]=0, 2860, 2210) * (Table1[[#This Row],[cycles]] / 70) / 1000</f>
        <v>2.8191428571428574</v>
      </c>
    </row>
    <row r="9" spans="1:28" x14ac:dyDescent="0.25">
      <c r="A9" t="s">
        <v>20</v>
      </c>
      <c r="B9" t="s">
        <v>21</v>
      </c>
      <c r="C9">
        <v>0</v>
      </c>
      <c r="D9">
        <v>8</v>
      </c>
      <c r="E9">
        <v>32</v>
      </c>
      <c r="F9">
        <v>32</v>
      </c>
      <c r="G9">
        <v>32</v>
      </c>
      <c r="H9">
        <v>32</v>
      </c>
      <c r="I9">
        <v>14</v>
      </c>
      <c r="J9">
        <v>18</v>
      </c>
      <c r="K9">
        <v>0</v>
      </c>
      <c r="L9">
        <v>32</v>
      </c>
      <c r="M9">
        <v>0.59570000000000001</v>
      </c>
      <c r="N9">
        <v>65536</v>
      </c>
      <c r="O9">
        <v>16128</v>
      </c>
      <c r="P9">
        <v>0.75390000000000001</v>
      </c>
      <c r="Q9">
        <v>62</v>
      </c>
      <c r="R9">
        <v>40.700000000000003</v>
      </c>
      <c r="S9" t="b">
        <v>1</v>
      </c>
      <c r="T9">
        <v>0.88571428600000002</v>
      </c>
      <c r="U9">
        <v>7</v>
      </c>
      <c r="V9">
        <f>Table1[[#This Row],[orig_m]]+Table1[[#This Row],[orig_n]]+Table1[[#This Row],[orig_k]]-2</f>
        <v>94</v>
      </c>
      <c r="W9">
        <f>Table1[[#This Row],[Dense Baseline]]-Table1[[#This Row],[cycles]]</f>
        <v>32</v>
      </c>
      <c r="X9">
        <f>(Table1[[#This Row],[eff_macs]]/Table1[[#This Row],[cycles]])*0.07</f>
        <v>18.209032258064518</v>
      </c>
      <c r="Y9">
        <f>(Table1[[#This Row],[orig_macs]]/Table1[[#This Row],[cycles]])*0.07</f>
        <v>73.992258064516136</v>
      </c>
      <c r="Z9">
        <f>(Table1[[#This Row],[Dense-Equivalent Throughput (GOPS)]] / IF(Table1[[#This Row],[config]]=0,144781,7618)) * 1000</f>
        <v>0.51106331676474215</v>
      </c>
      <c r="AA9">
        <f>(Table1[[#This Row],[Dense-Equivalent Throughput (GOPS)]] / 654.74 )/ IF(Table1[[#This Row],[config]]=0, 42381, 7618) * 10^9</f>
        <v>2666.5283611541827</v>
      </c>
      <c r="AB9">
        <f>IF(Table1[[#This Row],[config]]=0, 2860, 2210) * (Table1[[#This Row],[cycles]] / 70) / 1000</f>
        <v>2.5331428571428569</v>
      </c>
    </row>
    <row r="10" spans="1:28" x14ac:dyDescent="0.25">
      <c r="A10" t="s">
        <v>20</v>
      </c>
      <c r="B10" t="s">
        <v>21</v>
      </c>
      <c r="C10">
        <v>0</v>
      </c>
      <c r="D10">
        <v>9</v>
      </c>
      <c r="E10">
        <v>32</v>
      </c>
      <c r="F10">
        <v>32</v>
      </c>
      <c r="G10">
        <v>32</v>
      </c>
      <c r="H10">
        <v>32</v>
      </c>
      <c r="I10">
        <v>19</v>
      </c>
      <c r="J10">
        <v>18</v>
      </c>
      <c r="K10">
        <v>0</v>
      </c>
      <c r="L10">
        <v>32</v>
      </c>
      <c r="M10">
        <v>0.55179999999999996</v>
      </c>
      <c r="N10">
        <v>65536</v>
      </c>
      <c r="O10">
        <v>21888</v>
      </c>
      <c r="P10">
        <v>0.66600000000000004</v>
      </c>
      <c r="Q10">
        <v>67</v>
      </c>
      <c r="R10">
        <v>53.6</v>
      </c>
      <c r="S10" t="b">
        <v>1</v>
      </c>
      <c r="T10">
        <v>0.95714285700000001</v>
      </c>
      <c r="U10">
        <v>8</v>
      </c>
      <c r="V10">
        <f>Table1[[#This Row],[orig_m]]+Table1[[#This Row],[orig_n]]+Table1[[#This Row],[orig_k]]-2</f>
        <v>94</v>
      </c>
      <c r="W10">
        <f>Table1[[#This Row],[Dense Baseline]]-Table1[[#This Row],[cycles]]</f>
        <v>27</v>
      </c>
      <c r="X10">
        <f>(Table1[[#This Row],[eff_macs]]/Table1[[#This Row],[cycles]])*0.07</f>
        <v>22.868059701492541</v>
      </c>
      <c r="Y10">
        <f>(Table1[[#This Row],[orig_macs]]/Table1[[#This Row],[cycles]])*0.07</f>
        <v>68.470447761194038</v>
      </c>
      <c r="Z10">
        <f>(Table1[[#This Row],[Dense-Equivalent Throughput (GOPS)]] / IF(Table1[[#This Row],[config]]=0,144781,7618)) * 1000</f>
        <v>0.47292426327483605</v>
      </c>
      <c r="AA10">
        <f>(Table1[[#This Row],[Dense-Equivalent Throughput (GOPS)]] / 654.74 )/ IF(Table1[[#This Row],[config]]=0, 42381, 7618) * 10^9</f>
        <v>2467.5337073367064</v>
      </c>
      <c r="AB10">
        <f>IF(Table1[[#This Row],[config]]=0, 2860, 2210) * (Table1[[#This Row],[cycles]] / 70) / 1000</f>
        <v>2.7374285714285715</v>
      </c>
    </row>
    <row r="11" spans="1:28" x14ac:dyDescent="0.25">
      <c r="A11" t="s">
        <v>20</v>
      </c>
      <c r="B11" t="s">
        <v>21</v>
      </c>
      <c r="C11">
        <v>0</v>
      </c>
      <c r="D11">
        <v>10</v>
      </c>
      <c r="E11">
        <v>32</v>
      </c>
      <c r="F11">
        <v>32</v>
      </c>
      <c r="G11">
        <v>32</v>
      </c>
      <c r="H11">
        <v>32</v>
      </c>
      <c r="I11">
        <v>17</v>
      </c>
      <c r="J11">
        <v>18</v>
      </c>
      <c r="K11">
        <v>0</v>
      </c>
      <c r="L11">
        <v>32</v>
      </c>
      <c r="M11">
        <v>0.56930000000000003</v>
      </c>
      <c r="N11">
        <v>65536</v>
      </c>
      <c r="O11">
        <v>19584</v>
      </c>
      <c r="P11">
        <v>0.70120000000000005</v>
      </c>
      <c r="Q11">
        <v>65</v>
      </c>
      <c r="R11">
        <v>87.7</v>
      </c>
      <c r="S11" t="b">
        <v>1</v>
      </c>
      <c r="T11">
        <v>0.928571429</v>
      </c>
      <c r="U11">
        <v>9</v>
      </c>
      <c r="V11">
        <f>Table1[[#This Row],[orig_m]]+Table1[[#This Row],[orig_n]]+Table1[[#This Row],[orig_k]]-2</f>
        <v>94</v>
      </c>
      <c r="W11">
        <f>Table1[[#This Row],[Dense Baseline]]-Table1[[#This Row],[cycles]]</f>
        <v>29</v>
      </c>
      <c r="X11">
        <f>(Table1[[#This Row],[eff_macs]]/Table1[[#This Row],[cycles]])*0.07</f>
        <v>21.09046153846154</v>
      </c>
      <c r="Y11">
        <f>(Table1[[#This Row],[orig_macs]]/Table1[[#This Row],[cycles]])*0.07</f>
        <v>70.577230769230781</v>
      </c>
      <c r="Z11">
        <f>(Table1[[#This Row],[Dense-Equivalent Throughput (GOPS)]] / IF(Table1[[#This Row],[config]]=0,144781,7618)) * 1000</f>
        <v>0.48747577906790795</v>
      </c>
      <c r="AA11">
        <f>(Table1[[#This Row],[Dense-Equivalent Throughput (GOPS)]] / 654.74 )/ IF(Table1[[#This Row],[config]]=0, 42381, 7618) * 10^9</f>
        <v>2543.457821408605</v>
      </c>
      <c r="AB11">
        <f>IF(Table1[[#This Row],[config]]=0, 2860, 2210) * (Table1[[#This Row],[cycles]] / 70) / 1000</f>
        <v>2.6557142857142857</v>
      </c>
    </row>
    <row r="12" spans="1:28" x14ac:dyDescent="0.25">
      <c r="A12" t="s">
        <v>20</v>
      </c>
      <c r="B12" t="s">
        <v>21</v>
      </c>
      <c r="C12">
        <v>0</v>
      </c>
      <c r="D12">
        <v>11</v>
      </c>
      <c r="E12">
        <v>32</v>
      </c>
      <c r="F12">
        <v>32</v>
      </c>
      <c r="G12">
        <v>32</v>
      </c>
      <c r="H12">
        <v>32</v>
      </c>
      <c r="I12">
        <v>12</v>
      </c>
      <c r="J12">
        <v>18</v>
      </c>
      <c r="K12">
        <v>0</v>
      </c>
      <c r="L12">
        <v>32</v>
      </c>
      <c r="M12">
        <v>0.61329999999999996</v>
      </c>
      <c r="N12">
        <v>65536</v>
      </c>
      <c r="O12">
        <v>13824</v>
      </c>
      <c r="P12">
        <v>0.78910000000000002</v>
      </c>
      <c r="Q12">
        <v>60</v>
      </c>
      <c r="R12">
        <v>39.4</v>
      </c>
      <c r="S12" t="b">
        <v>1</v>
      </c>
      <c r="T12">
        <v>0.85714285700000004</v>
      </c>
      <c r="U12">
        <v>10</v>
      </c>
      <c r="V12">
        <f>Table1[[#This Row],[orig_m]]+Table1[[#This Row],[orig_n]]+Table1[[#This Row],[orig_k]]-2</f>
        <v>94</v>
      </c>
      <c r="W12">
        <f>Table1[[#This Row],[Dense Baseline]]-Table1[[#This Row],[cycles]]</f>
        <v>34</v>
      </c>
      <c r="X12">
        <f>(Table1[[#This Row],[eff_macs]]/Table1[[#This Row],[cycles]])*0.07</f>
        <v>16.128000000000004</v>
      </c>
      <c r="Y12">
        <f>(Table1[[#This Row],[orig_macs]]/Table1[[#This Row],[cycles]])*0.07</f>
        <v>76.458666666666673</v>
      </c>
      <c r="Z12">
        <f>(Table1[[#This Row],[Dense-Equivalent Throughput (GOPS)]] / IF(Table1[[#This Row],[config]]=0,144781,7618)) * 1000</f>
        <v>0.52809876065690031</v>
      </c>
      <c r="AA12">
        <f>(Table1[[#This Row],[Dense-Equivalent Throughput (GOPS)]] / 654.74 )/ IF(Table1[[#This Row],[config]]=0, 42381, 7618) * 10^9</f>
        <v>2755.4126398593216</v>
      </c>
      <c r="AB12">
        <f>IF(Table1[[#This Row],[config]]=0, 2860, 2210) * (Table1[[#This Row],[cycles]] / 70) / 1000</f>
        <v>2.4514285714285711</v>
      </c>
    </row>
    <row r="13" spans="1:28" x14ac:dyDescent="0.25">
      <c r="A13" t="s">
        <v>20</v>
      </c>
      <c r="B13" t="s">
        <v>21</v>
      </c>
      <c r="C13">
        <v>0</v>
      </c>
      <c r="D13">
        <v>12</v>
      </c>
      <c r="E13">
        <v>32</v>
      </c>
      <c r="F13">
        <v>32</v>
      </c>
      <c r="G13">
        <v>32</v>
      </c>
      <c r="H13">
        <v>32</v>
      </c>
      <c r="I13">
        <v>17</v>
      </c>
      <c r="J13">
        <v>18</v>
      </c>
      <c r="K13">
        <v>0</v>
      </c>
      <c r="L13">
        <v>32</v>
      </c>
      <c r="M13">
        <v>0.56930000000000003</v>
      </c>
      <c r="N13">
        <v>65536</v>
      </c>
      <c r="O13">
        <v>19584</v>
      </c>
      <c r="P13">
        <v>0.70120000000000005</v>
      </c>
      <c r="Q13">
        <v>65</v>
      </c>
      <c r="R13">
        <v>39</v>
      </c>
      <c r="S13" t="b">
        <v>1</v>
      </c>
      <c r="T13">
        <v>0.928571429</v>
      </c>
      <c r="U13">
        <v>11</v>
      </c>
      <c r="V13">
        <f>Table1[[#This Row],[orig_m]]+Table1[[#This Row],[orig_n]]+Table1[[#This Row],[orig_k]]-2</f>
        <v>94</v>
      </c>
      <c r="W13">
        <f>Table1[[#This Row],[Dense Baseline]]-Table1[[#This Row],[cycles]]</f>
        <v>29</v>
      </c>
      <c r="X13">
        <f>(Table1[[#This Row],[eff_macs]]/Table1[[#This Row],[cycles]])*0.07</f>
        <v>21.09046153846154</v>
      </c>
      <c r="Y13">
        <f>(Table1[[#This Row],[orig_macs]]/Table1[[#This Row],[cycles]])*0.07</f>
        <v>70.577230769230781</v>
      </c>
      <c r="Z13">
        <f>(Table1[[#This Row],[Dense-Equivalent Throughput (GOPS)]] / IF(Table1[[#This Row],[config]]=0,144781,7618)) * 1000</f>
        <v>0.48747577906790795</v>
      </c>
      <c r="AA13">
        <f>(Table1[[#This Row],[Dense-Equivalent Throughput (GOPS)]] / 654.74 )/ IF(Table1[[#This Row],[config]]=0, 42381, 7618) * 10^9</f>
        <v>2543.457821408605</v>
      </c>
      <c r="AB13">
        <f>IF(Table1[[#This Row],[config]]=0, 2860, 2210) * (Table1[[#This Row],[cycles]] / 70) / 1000</f>
        <v>2.6557142857142857</v>
      </c>
    </row>
    <row r="14" spans="1:28" x14ac:dyDescent="0.25">
      <c r="A14" t="s">
        <v>20</v>
      </c>
      <c r="B14" t="s">
        <v>21</v>
      </c>
      <c r="C14">
        <v>0</v>
      </c>
      <c r="D14">
        <v>13</v>
      </c>
      <c r="E14">
        <v>32</v>
      </c>
      <c r="F14">
        <v>32</v>
      </c>
      <c r="G14">
        <v>32</v>
      </c>
      <c r="H14">
        <v>32</v>
      </c>
      <c r="I14">
        <v>21</v>
      </c>
      <c r="J14">
        <v>18</v>
      </c>
      <c r="K14">
        <v>0</v>
      </c>
      <c r="L14">
        <v>32</v>
      </c>
      <c r="M14">
        <v>0.53420000000000001</v>
      </c>
      <c r="N14">
        <v>65536</v>
      </c>
      <c r="O14">
        <v>24192</v>
      </c>
      <c r="P14">
        <v>0.63090000000000002</v>
      </c>
      <c r="Q14">
        <v>69</v>
      </c>
      <c r="R14">
        <v>50.9</v>
      </c>
      <c r="S14" t="b">
        <v>1</v>
      </c>
      <c r="T14">
        <v>0.985714286</v>
      </c>
      <c r="U14">
        <v>12</v>
      </c>
      <c r="V14">
        <f>Table1[[#This Row],[orig_m]]+Table1[[#This Row],[orig_n]]+Table1[[#This Row],[orig_k]]-2</f>
        <v>94</v>
      </c>
      <c r="W14">
        <f>Table1[[#This Row],[Dense Baseline]]-Table1[[#This Row],[cycles]]</f>
        <v>25</v>
      </c>
      <c r="X14">
        <f>(Table1[[#This Row],[eff_macs]]/Table1[[#This Row],[cycles]])*0.07</f>
        <v>24.542608695652177</v>
      </c>
      <c r="Y14">
        <f>(Table1[[#This Row],[orig_macs]]/Table1[[#This Row],[cycles]])*0.07</f>
        <v>66.485797101449279</v>
      </c>
      <c r="Z14">
        <f>(Table1[[#This Row],[Dense-Equivalent Throughput (GOPS)]] / IF(Table1[[#This Row],[config]]=0,144781,7618)) * 1000</f>
        <v>0.45921631361469584</v>
      </c>
      <c r="AA14">
        <f>(Table1[[#This Row],[Dense-Equivalent Throughput (GOPS)]] / 654.74 )/ IF(Table1[[#This Row],[config]]=0, 42381, 7618) * 10^9</f>
        <v>2396.0109911820191</v>
      </c>
      <c r="AB14">
        <f>IF(Table1[[#This Row],[config]]=0, 2860, 2210) * (Table1[[#This Row],[cycles]] / 70) / 1000</f>
        <v>2.8191428571428574</v>
      </c>
    </row>
    <row r="15" spans="1:28" x14ac:dyDescent="0.25">
      <c r="A15" t="s">
        <v>20</v>
      </c>
      <c r="B15" t="s">
        <v>21</v>
      </c>
      <c r="C15">
        <v>0</v>
      </c>
      <c r="D15">
        <v>14</v>
      </c>
      <c r="E15">
        <v>32</v>
      </c>
      <c r="F15">
        <v>32</v>
      </c>
      <c r="G15">
        <v>32</v>
      </c>
      <c r="H15">
        <v>32</v>
      </c>
      <c r="I15">
        <v>20</v>
      </c>
      <c r="J15">
        <v>18</v>
      </c>
      <c r="K15">
        <v>0</v>
      </c>
      <c r="L15">
        <v>32</v>
      </c>
      <c r="M15">
        <v>0.54300000000000004</v>
      </c>
      <c r="N15">
        <v>65536</v>
      </c>
      <c r="O15">
        <v>23040</v>
      </c>
      <c r="P15">
        <v>0.64839999999999998</v>
      </c>
      <c r="Q15">
        <v>68</v>
      </c>
      <c r="R15">
        <v>69.7</v>
      </c>
      <c r="S15" t="b">
        <v>1</v>
      </c>
      <c r="T15">
        <v>0.97142857100000002</v>
      </c>
      <c r="U15">
        <v>13</v>
      </c>
      <c r="V15">
        <f>Table1[[#This Row],[orig_m]]+Table1[[#This Row],[orig_n]]+Table1[[#This Row],[orig_k]]-2</f>
        <v>94</v>
      </c>
      <c r="W15">
        <f>Table1[[#This Row],[Dense Baseline]]-Table1[[#This Row],[cycles]]</f>
        <v>26</v>
      </c>
      <c r="X15">
        <f>(Table1[[#This Row],[eff_macs]]/Table1[[#This Row],[cycles]])*0.07</f>
        <v>23.71764705882353</v>
      </c>
      <c r="Y15">
        <f>(Table1[[#This Row],[orig_macs]]/Table1[[#This Row],[cycles]])*0.07</f>
        <v>67.463529411764711</v>
      </c>
      <c r="Z15">
        <f>(Table1[[#This Row],[Dense-Equivalent Throughput (GOPS)]] / IF(Table1[[#This Row],[config]]=0,144781,7618)) * 1000</f>
        <v>0.4659694946972649</v>
      </c>
      <c r="AA15">
        <f>(Table1[[#This Row],[Dense-Equivalent Throughput (GOPS)]] / 654.74 )/ IF(Table1[[#This Row],[config]]=0, 42381, 7618) * 10^9</f>
        <v>2431.246446934696</v>
      </c>
      <c r="AB15">
        <f>IF(Table1[[#This Row],[config]]=0, 2860, 2210) * (Table1[[#This Row],[cycles]] / 70) / 1000</f>
        <v>2.778285714285714</v>
      </c>
    </row>
    <row r="16" spans="1:28" x14ac:dyDescent="0.25">
      <c r="A16" t="s">
        <v>20</v>
      </c>
      <c r="B16" t="s">
        <v>21</v>
      </c>
      <c r="C16">
        <v>0</v>
      </c>
      <c r="D16">
        <v>15</v>
      </c>
      <c r="E16">
        <v>32</v>
      </c>
      <c r="F16">
        <v>32</v>
      </c>
      <c r="G16">
        <v>32</v>
      </c>
      <c r="H16">
        <v>32</v>
      </c>
      <c r="I16">
        <v>21</v>
      </c>
      <c r="J16">
        <v>18</v>
      </c>
      <c r="K16">
        <v>0</v>
      </c>
      <c r="L16">
        <v>32</v>
      </c>
      <c r="M16">
        <v>0.53420000000000001</v>
      </c>
      <c r="N16">
        <v>65536</v>
      </c>
      <c r="O16">
        <v>24192</v>
      </c>
      <c r="P16">
        <v>0.63090000000000002</v>
      </c>
      <c r="Q16">
        <v>69</v>
      </c>
      <c r="R16">
        <v>39.6</v>
      </c>
      <c r="S16" t="b">
        <v>1</v>
      </c>
      <c r="T16">
        <v>0.985714286</v>
      </c>
      <c r="U16">
        <v>14</v>
      </c>
      <c r="V16">
        <f>Table1[[#This Row],[orig_m]]+Table1[[#This Row],[orig_n]]+Table1[[#This Row],[orig_k]]-2</f>
        <v>94</v>
      </c>
      <c r="W16">
        <f>Table1[[#This Row],[Dense Baseline]]-Table1[[#This Row],[cycles]]</f>
        <v>25</v>
      </c>
      <c r="X16">
        <f>(Table1[[#This Row],[eff_macs]]/Table1[[#This Row],[cycles]])*0.07</f>
        <v>24.542608695652177</v>
      </c>
      <c r="Y16">
        <f>(Table1[[#This Row],[orig_macs]]/Table1[[#This Row],[cycles]])*0.07</f>
        <v>66.485797101449279</v>
      </c>
      <c r="Z16">
        <f>(Table1[[#This Row],[Dense-Equivalent Throughput (GOPS)]] / IF(Table1[[#This Row],[config]]=0,144781,7618)) * 1000</f>
        <v>0.45921631361469584</v>
      </c>
      <c r="AA16">
        <f>(Table1[[#This Row],[Dense-Equivalent Throughput (GOPS)]] / 654.74 )/ IF(Table1[[#This Row],[config]]=0, 42381, 7618) * 10^9</f>
        <v>2396.0109911820191</v>
      </c>
      <c r="AB16">
        <f>IF(Table1[[#This Row],[config]]=0, 2860, 2210) * (Table1[[#This Row],[cycles]] / 70) / 1000</f>
        <v>2.8191428571428574</v>
      </c>
    </row>
    <row r="17" spans="1:28" x14ac:dyDescent="0.25">
      <c r="A17" t="s">
        <v>20</v>
      </c>
      <c r="B17" t="s">
        <v>21</v>
      </c>
      <c r="C17">
        <v>0</v>
      </c>
      <c r="D17">
        <v>16</v>
      </c>
      <c r="E17">
        <v>32</v>
      </c>
      <c r="F17">
        <v>32</v>
      </c>
      <c r="G17">
        <v>32</v>
      </c>
      <c r="H17">
        <v>32</v>
      </c>
      <c r="I17">
        <v>14</v>
      </c>
      <c r="J17">
        <v>18</v>
      </c>
      <c r="K17">
        <v>0</v>
      </c>
      <c r="L17">
        <v>32</v>
      </c>
      <c r="M17">
        <v>0.59570000000000001</v>
      </c>
      <c r="N17">
        <v>65536</v>
      </c>
      <c r="O17">
        <v>16128</v>
      </c>
      <c r="P17">
        <v>0.75390000000000001</v>
      </c>
      <c r="Q17">
        <v>62</v>
      </c>
      <c r="R17">
        <v>42.7</v>
      </c>
      <c r="S17" t="b">
        <v>1</v>
      </c>
      <c r="T17">
        <v>0.88571428600000002</v>
      </c>
      <c r="U17">
        <v>15</v>
      </c>
      <c r="V17">
        <f>Table1[[#This Row],[orig_m]]+Table1[[#This Row],[orig_n]]+Table1[[#This Row],[orig_k]]-2</f>
        <v>94</v>
      </c>
      <c r="W17">
        <f>Table1[[#This Row],[Dense Baseline]]-Table1[[#This Row],[cycles]]</f>
        <v>32</v>
      </c>
      <c r="X17">
        <f>(Table1[[#This Row],[eff_macs]]/Table1[[#This Row],[cycles]])*0.07</f>
        <v>18.209032258064518</v>
      </c>
      <c r="Y17">
        <f>(Table1[[#This Row],[orig_macs]]/Table1[[#This Row],[cycles]])*0.07</f>
        <v>73.992258064516136</v>
      </c>
      <c r="Z17">
        <f>(Table1[[#This Row],[Dense-Equivalent Throughput (GOPS)]] / IF(Table1[[#This Row],[config]]=0,144781,7618)) * 1000</f>
        <v>0.51106331676474215</v>
      </c>
      <c r="AA17">
        <f>(Table1[[#This Row],[Dense-Equivalent Throughput (GOPS)]] / 654.74 )/ IF(Table1[[#This Row],[config]]=0, 42381, 7618) * 10^9</f>
        <v>2666.5283611541827</v>
      </c>
      <c r="AB17">
        <f>IF(Table1[[#This Row],[config]]=0, 2860, 2210) * (Table1[[#This Row],[cycles]] / 70) / 1000</f>
        <v>2.5331428571428569</v>
      </c>
    </row>
    <row r="18" spans="1:28" x14ac:dyDescent="0.25">
      <c r="A18" t="s">
        <v>20</v>
      </c>
      <c r="B18" t="s">
        <v>21</v>
      </c>
      <c r="C18">
        <v>0</v>
      </c>
      <c r="D18">
        <v>17</v>
      </c>
      <c r="E18">
        <v>32</v>
      </c>
      <c r="F18">
        <v>32</v>
      </c>
      <c r="G18">
        <v>32</v>
      </c>
      <c r="H18">
        <v>32</v>
      </c>
      <c r="I18">
        <v>19</v>
      </c>
      <c r="J18">
        <v>18</v>
      </c>
      <c r="K18">
        <v>0</v>
      </c>
      <c r="L18">
        <v>32</v>
      </c>
      <c r="M18">
        <v>0.55179999999999996</v>
      </c>
      <c r="N18">
        <v>65536</v>
      </c>
      <c r="O18">
        <v>21888</v>
      </c>
      <c r="P18">
        <v>0.66600000000000004</v>
      </c>
      <c r="Q18">
        <v>67</v>
      </c>
      <c r="R18">
        <v>176.4</v>
      </c>
      <c r="S18" t="b">
        <v>1</v>
      </c>
      <c r="T18">
        <v>0.95714285700000001</v>
      </c>
      <c r="U18">
        <v>16</v>
      </c>
      <c r="V18">
        <f>Table1[[#This Row],[orig_m]]+Table1[[#This Row],[orig_n]]+Table1[[#This Row],[orig_k]]-2</f>
        <v>94</v>
      </c>
      <c r="W18">
        <f>Table1[[#This Row],[Dense Baseline]]-Table1[[#This Row],[cycles]]</f>
        <v>27</v>
      </c>
      <c r="X18">
        <f>(Table1[[#This Row],[eff_macs]]/Table1[[#This Row],[cycles]])*0.07</f>
        <v>22.868059701492541</v>
      </c>
      <c r="Y18">
        <f>(Table1[[#This Row],[orig_macs]]/Table1[[#This Row],[cycles]])*0.07</f>
        <v>68.470447761194038</v>
      </c>
      <c r="Z18">
        <f>(Table1[[#This Row],[Dense-Equivalent Throughput (GOPS)]] / IF(Table1[[#This Row],[config]]=0,144781,7618)) * 1000</f>
        <v>0.47292426327483605</v>
      </c>
      <c r="AA18">
        <f>(Table1[[#This Row],[Dense-Equivalent Throughput (GOPS)]] / 654.74 )/ IF(Table1[[#This Row],[config]]=0, 42381, 7618) * 10^9</f>
        <v>2467.5337073367064</v>
      </c>
      <c r="AB18">
        <f>IF(Table1[[#This Row],[config]]=0, 2860, 2210) * (Table1[[#This Row],[cycles]] / 70) / 1000</f>
        <v>2.7374285714285715</v>
      </c>
    </row>
    <row r="19" spans="1:28" x14ac:dyDescent="0.25">
      <c r="A19" t="s">
        <v>20</v>
      </c>
      <c r="B19" t="s">
        <v>21</v>
      </c>
      <c r="C19">
        <v>0</v>
      </c>
      <c r="D19">
        <v>18</v>
      </c>
      <c r="E19">
        <v>32</v>
      </c>
      <c r="F19">
        <v>32</v>
      </c>
      <c r="G19">
        <v>32</v>
      </c>
      <c r="H19">
        <v>32</v>
      </c>
      <c r="I19">
        <v>17</v>
      </c>
      <c r="J19">
        <v>18</v>
      </c>
      <c r="K19">
        <v>0</v>
      </c>
      <c r="L19">
        <v>32</v>
      </c>
      <c r="M19">
        <v>0.56930000000000003</v>
      </c>
      <c r="N19">
        <v>65536</v>
      </c>
      <c r="O19">
        <v>19584</v>
      </c>
      <c r="P19">
        <v>0.70120000000000005</v>
      </c>
      <c r="Q19">
        <v>65</v>
      </c>
      <c r="R19">
        <v>56</v>
      </c>
      <c r="S19" t="b">
        <v>1</v>
      </c>
      <c r="T19">
        <v>0.928571429</v>
      </c>
      <c r="U19">
        <v>17</v>
      </c>
      <c r="V19">
        <f>Table1[[#This Row],[orig_m]]+Table1[[#This Row],[orig_n]]+Table1[[#This Row],[orig_k]]-2</f>
        <v>94</v>
      </c>
      <c r="W19">
        <f>Table1[[#This Row],[Dense Baseline]]-Table1[[#This Row],[cycles]]</f>
        <v>29</v>
      </c>
      <c r="X19">
        <f>(Table1[[#This Row],[eff_macs]]/Table1[[#This Row],[cycles]])*0.07</f>
        <v>21.09046153846154</v>
      </c>
      <c r="Y19">
        <f>(Table1[[#This Row],[orig_macs]]/Table1[[#This Row],[cycles]])*0.07</f>
        <v>70.577230769230781</v>
      </c>
      <c r="Z19">
        <f>(Table1[[#This Row],[Dense-Equivalent Throughput (GOPS)]] / IF(Table1[[#This Row],[config]]=0,144781,7618)) * 1000</f>
        <v>0.48747577906790795</v>
      </c>
      <c r="AA19">
        <f>(Table1[[#This Row],[Dense-Equivalent Throughput (GOPS)]] / 654.74 )/ IF(Table1[[#This Row],[config]]=0, 42381, 7618) * 10^9</f>
        <v>2543.457821408605</v>
      </c>
      <c r="AB19">
        <f>IF(Table1[[#This Row],[config]]=0, 2860, 2210) * (Table1[[#This Row],[cycles]] / 70) / 1000</f>
        <v>2.6557142857142857</v>
      </c>
    </row>
    <row r="20" spans="1:28" x14ac:dyDescent="0.25">
      <c r="A20" t="s">
        <v>20</v>
      </c>
      <c r="B20" t="s">
        <v>21</v>
      </c>
      <c r="C20">
        <v>0</v>
      </c>
      <c r="D20">
        <v>19</v>
      </c>
      <c r="E20">
        <v>32</v>
      </c>
      <c r="F20">
        <v>32</v>
      </c>
      <c r="G20">
        <v>32</v>
      </c>
      <c r="H20">
        <v>32</v>
      </c>
      <c r="I20">
        <v>12</v>
      </c>
      <c r="J20">
        <v>18</v>
      </c>
      <c r="K20">
        <v>0</v>
      </c>
      <c r="L20">
        <v>32</v>
      </c>
      <c r="M20">
        <v>0.61329999999999996</v>
      </c>
      <c r="N20">
        <v>65536</v>
      </c>
      <c r="O20">
        <v>13824</v>
      </c>
      <c r="P20">
        <v>0.78910000000000002</v>
      </c>
      <c r="Q20">
        <v>60</v>
      </c>
      <c r="R20">
        <v>94.5</v>
      </c>
      <c r="S20" t="b">
        <v>1</v>
      </c>
      <c r="T20">
        <v>0.85714285700000004</v>
      </c>
      <c r="U20">
        <v>18</v>
      </c>
      <c r="V20">
        <f>Table1[[#This Row],[orig_m]]+Table1[[#This Row],[orig_n]]+Table1[[#This Row],[orig_k]]-2</f>
        <v>94</v>
      </c>
      <c r="W20">
        <f>Table1[[#This Row],[Dense Baseline]]-Table1[[#This Row],[cycles]]</f>
        <v>34</v>
      </c>
      <c r="X20">
        <f>(Table1[[#This Row],[eff_macs]]/Table1[[#This Row],[cycles]])*0.07</f>
        <v>16.128000000000004</v>
      </c>
      <c r="Y20">
        <f>(Table1[[#This Row],[orig_macs]]/Table1[[#This Row],[cycles]])*0.07</f>
        <v>76.458666666666673</v>
      </c>
      <c r="Z20">
        <f>(Table1[[#This Row],[Dense-Equivalent Throughput (GOPS)]] / IF(Table1[[#This Row],[config]]=0,144781,7618)) * 1000</f>
        <v>0.52809876065690031</v>
      </c>
      <c r="AA20">
        <f>(Table1[[#This Row],[Dense-Equivalent Throughput (GOPS)]] / 654.74 )/ IF(Table1[[#This Row],[config]]=0, 42381, 7618) * 10^9</f>
        <v>2755.4126398593216</v>
      </c>
      <c r="AB20">
        <f>IF(Table1[[#This Row],[config]]=0, 2860, 2210) * (Table1[[#This Row],[cycles]] / 70) / 1000</f>
        <v>2.4514285714285711</v>
      </c>
    </row>
    <row r="21" spans="1:28" x14ac:dyDescent="0.25">
      <c r="A21" t="s">
        <v>20</v>
      </c>
      <c r="B21" t="s">
        <v>21</v>
      </c>
      <c r="C21">
        <v>0</v>
      </c>
      <c r="D21">
        <v>20</v>
      </c>
      <c r="E21">
        <v>32</v>
      </c>
      <c r="F21">
        <v>32</v>
      </c>
      <c r="G21">
        <v>32</v>
      </c>
      <c r="H21">
        <v>32</v>
      </c>
      <c r="I21">
        <v>17</v>
      </c>
      <c r="J21">
        <v>18</v>
      </c>
      <c r="K21">
        <v>0</v>
      </c>
      <c r="L21">
        <v>32</v>
      </c>
      <c r="M21">
        <v>0.56930000000000003</v>
      </c>
      <c r="N21">
        <v>65536</v>
      </c>
      <c r="O21">
        <v>19584</v>
      </c>
      <c r="P21">
        <v>0.70120000000000005</v>
      </c>
      <c r="Q21">
        <v>65</v>
      </c>
      <c r="R21">
        <v>38</v>
      </c>
      <c r="S21" t="b">
        <v>1</v>
      </c>
      <c r="T21">
        <v>0.928571429</v>
      </c>
      <c r="U21">
        <v>19</v>
      </c>
      <c r="V21">
        <f>Table1[[#This Row],[orig_m]]+Table1[[#This Row],[orig_n]]+Table1[[#This Row],[orig_k]]-2</f>
        <v>94</v>
      </c>
      <c r="W21">
        <f>Table1[[#This Row],[Dense Baseline]]-Table1[[#This Row],[cycles]]</f>
        <v>29</v>
      </c>
      <c r="X21">
        <f>(Table1[[#This Row],[eff_macs]]/Table1[[#This Row],[cycles]])*0.07</f>
        <v>21.09046153846154</v>
      </c>
      <c r="Y21">
        <f>(Table1[[#This Row],[orig_macs]]/Table1[[#This Row],[cycles]])*0.07</f>
        <v>70.577230769230781</v>
      </c>
      <c r="Z21">
        <f>(Table1[[#This Row],[Dense-Equivalent Throughput (GOPS)]] / IF(Table1[[#This Row],[config]]=0,144781,7618)) * 1000</f>
        <v>0.48747577906790795</v>
      </c>
      <c r="AA21">
        <f>(Table1[[#This Row],[Dense-Equivalent Throughput (GOPS)]] / 654.74 )/ IF(Table1[[#This Row],[config]]=0, 42381, 7618) * 10^9</f>
        <v>2543.457821408605</v>
      </c>
      <c r="AB21">
        <f>IF(Table1[[#This Row],[config]]=0, 2860, 2210) * (Table1[[#This Row],[cycles]] / 70) / 1000</f>
        <v>2.6557142857142857</v>
      </c>
    </row>
    <row r="22" spans="1:28" x14ac:dyDescent="0.25">
      <c r="A22" t="s">
        <v>20</v>
      </c>
      <c r="B22" t="s">
        <v>21</v>
      </c>
      <c r="C22">
        <v>0</v>
      </c>
      <c r="D22">
        <v>21</v>
      </c>
      <c r="E22">
        <v>32</v>
      </c>
      <c r="F22">
        <v>32</v>
      </c>
      <c r="G22">
        <v>32</v>
      </c>
      <c r="H22">
        <v>32</v>
      </c>
      <c r="I22">
        <v>21</v>
      </c>
      <c r="J22">
        <v>18</v>
      </c>
      <c r="K22">
        <v>0</v>
      </c>
      <c r="L22">
        <v>32</v>
      </c>
      <c r="M22">
        <v>0.53420000000000001</v>
      </c>
      <c r="N22">
        <v>65536</v>
      </c>
      <c r="O22">
        <v>24192</v>
      </c>
      <c r="P22">
        <v>0.63090000000000002</v>
      </c>
      <c r="Q22">
        <v>69</v>
      </c>
      <c r="R22">
        <v>112.8</v>
      </c>
      <c r="S22" t="b">
        <v>1</v>
      </c>
      <c r="T22">
        <v>0.985714286</v>
      </c>
      <c r="U22">
        <v>20</v>
      </c>
      <c r="V22">
        <f>Table1[[#This Row],[orig_m]]+Table1[[#This Row],[orig_n]]+Table1[[#This Row],[orig_k]]-2</f>
        <v>94</v>
      </c>
      <c r="W22">
        <f>Table1[[#This Row],[Dense Baseline]]-Table1[[#This Row],[cycles]]</f>
        <v>25</v>
      </c>
      <c r="X22">
        <f>(Table1[[#This Row],[eff_macs]]/Table1[[#This Row],[cycles]])*0.07</f>
        <v>24.542608695652177</v>
      </c>
      <c r="Y22">
        <f>(Table1[[#This Row],[orig_macs]]/Table1[[#This Row],[cycles]])*0.07</f>
        <v>66.485797101449279</v>
      </c>
      <c r="Z22">
        <f>(Table1[[#This Row],[Dense-Equivalent Throughput (GOPS)]] / IF(Table1[[#This Row],[config]]=0,144781,7618)) * 1000</f>
        <v>0.45921631361469584</v>
      </c>
      <c r="AA22">
        <f>(Table1[[#This Row],[Dense-Equivalent Throughput (GOPS)]] / 654.74 )/ IF(Table1[[#This Row],[config]]=0, 42381, 7618) * 10^9</f>
        <v>2396.0109911820191</v>
      </c>
      <c r="AB22">
        <f>IF(Table1[[#This Row],[config]]=0, 2860, 2210) * (Table1[[#This Row],[cycles]] / 70) / 1000</f>
        <v>2.8191428571428574</v>
      </c>
    </row>
    <row r="23" spans="1:28" x14ac:dyDescent="0.25">
      <c r="A23" t="s">
        <v>20</v>
      </c>
      <c r="B23" t="s">
        <v>21</v>
      </c>
      <c r="C23">
        <v>0</v>
      </c>
      <c r="D23">
        <v>22</v>
      </c>
      <c r="E23">
        <v>32</v>
      </c>
      <c r="F23">
        <v>32</v>
      </c>
      <c r="G23">
        <v>32</v>
      </c>
      <c r="H23">
        <v>32</v>
      </c>
      <c r="I23">
        <v>20</v>
      </c>
      <c r="J23">
        <v>18</v>
      </c>
      <c r="K23">
        <v>0</v>
      </c>
      <c r="L23">
        <v>32</v>
      </c>
      <c r="M23">
        <v>0.54300000000000004</v>
      </c>
      <c r="N23">
        <v>65536</v>
      </c>
      <c r="O23">
        <v>23040</v>
      </c>
      <c r="P23">
        <v>0.64839999999999998</v>
      </c>
      <c r="Q23">
        <v>68</v>
      </c>
      <c r="R23">
        <v>40</v>
      </c>
      <c r="S23" t="b">
        <v>1</v>
      </c>
      <c r="T23">
        <v>0.97142857100000002</v>
      </c>
      <c r="U23">
        <v>21</v>
      </c>
      <c r="V23">
        <f>Table1[[#This Row],[orig_m]]+Table1[[#This Row],[orig_n]]+Table1[[#This Row],[orig_k]]-2</f>
        <v>94</v>
      </c>
      <c r="W23">
        <f>Table1[[#This Row],[Dense Baseline]]-Table1[[#This Row],[cycles]]</f>
        <v>26</v>
      </c>
      <c r="X23">
        <f>(Table1[[#This Row],[eff_macs]]/Table1[[#This Row],[cycles]])*0.07</f>
        <v>23.71764705882353</v>
      </c>
      <c r="Y23">
        <f>(Table1[[#This Row],[orig_macs]]/Table1[[#This Row],[cycles]])*0.07</f>
        <v>67.463529411764711</v>
      </c>
      <c r="Z23">
        <f>(Table1[[#This Row],[Dense-Equivalent Throughput (GOPS)]] / IF(Table1[[#This Row],[config]]=0,144781,7618)) * 1000</f>
        <v>0.4659694946972649</v>
      </c>
      <c r="AA23">
        <f>(Table1[[#This Row],[Dense-Equivalent Throughput (GOPS)]] / 654.74 )/ IF(Table1[[#This Row],[config]]=0, 42381, 7618) * 10^9</f>
        <v>2431.246446934696</v>
      </c>
      <c r="AB23">
        <f>IF(Table1[[#This Row],[config]]=0, 2860, 2210) * (Table1[[#This Row],[cycles]] / 70) / 1000</f>
        <v>2.778285714285714</v>
      </c>
    </row>
    <row r="24" spans="1:28" x14ac:dyDescent="0.25">
      <c r="A24" t="s">
        <v>20</v>
      </c>
      <c r="B24" t="s">
        <v>21</v>
      </c>
      <c r="C24">
        <v>0</v>
      </c>
      <c r="D24">
        <v>23</v>
      </c>
      <c r="E24">
        <v>32</v>
      </c>
      <c r="F24">
        <v>32</v>
      </c>
      <c r="G24">
        <v>32</v>
      </c>
      <c r="H24">
        <v>32</v>
      </c>
      <c r="I24">
        <v>21</v>
      </c>
      <c r="J24">
        <v>18</v>
      </c>
      <c r="K24">
        <v>0</v>
      </c>
      <c r="L24">
        <v>32</v>
      </c>
      <c r="M24">
        <v>0.53420000000000001</v>
      </c>
      <c r="N24">
        <v>65536</v>
      </c>
      <c r="O24">
        <v>24192</v>
      </c>
      <c r="P24">
        <v>0.63090000000000002</v>
      </c>
      <c r="Q24">
        <v>69</v>
      </c>
      <c r="R24">
        <v>42.4</v>
      </c>
      <c r="S24" t="b">
        <v>1</v>
      </c>
      <c r="T24">
        <v>0.985714286</v>
      </c>
      <c r="U24">
        <v>22</v>
      </c>
      <c r="V24">
        <f>Table1[[#This Row],[orig_m]]+Table1[[#This Row],[orig_n]]+Table1[[#This Row],[orig_k]]-2</f>
        <v>94</v>
      </c>
      <c r="W24">
        <f>Table1[[#This Row],[Dense Baseline]]-Table1[[#This Row],[cycles]]</f>
        <v>25</v>
      </c>
      <c r="X24">
        <f>(Table1[[#This Row],[eff_macs]]/Table1[[#This Row],[cycles]])*0.07</f>
        <v>24.542608695652177</v>
      </c>
      <c r="Y24">
        <f>(Table1[[#This Row],[orig_macs]]/Table1[[#This Row],[cycles]])*0.07</f>
        <v>66.485797101449279</v>
      </c>
      <c r="Z24">
        <f>(Table1[[#This Row],[Dense-Equivalent Throughput (GOPS)]] / IF(Table1[[#This Row],[config]]=0,144781,7618)) * 1000</f>
        <v>0.45921631361469584</v>
      </c>
      <c r="AA24">
        <f>(Table1[[#This Row],[Dense-Equivalent Throughput (GOPS)]] / 654.74 )/ IF(Table1[[#This Row],[config]]=0, 42381, 7618) * 10^9</f>
        <v>2396.0109911820191</v>
      </c>
      <c r="AB24">
        <f>IF(Table1[[#This Row],[config]]=0, 2860, 2210) * (Table1[[#This Row],[cycles]] / 70) / 1000</f>
        <v>2.8191428571428574</v>
      </c>
    </row>
    <row r="25" spans="1:28" x14ac:dyDescent="0.25">
      <c r="A25" t="s">
        <v>20</v>
      </c>
      <c r="B25" t="s">
        <v>21</v>
      </c>
      <c r="C25">
        <v>0</v>
      </c>
      <c r="D25">
        <v>24</v>
      </c>
      <c r="E25">
        <v>32</v>
      </c>
      <c r="F25">
        <v>32</v>
      </c>
      <c r="G25">
        <v>32</v>
      </c>
      <c r="H25">
        <v>32</v>
      </c>
      <c r="I25">
        <v>14</v>
      </c>
      <c r="J25">
        <v>18</v>
      </c>
      <c r="K25">
        <v>0</v>
      </c>
      <c r="L25">
        <v>32</v>
      </c>
      <c r="M25">
        <v>0.59570000000000001</v>
      </c>
      <c r="N25">
        <v>65536</v>
      </c>
      <c r="O25">
        <v>16128</v>
      </c>
      <c r="P25">
        <v>0.75390000000000001</v>
      </c>
      <c r="Q25">
        <v>62</v>
      </c>
      <c r="R25">
        <v>163.69999999999999</v>
      </c>
      <c r="S25" t="b">
        <v>1</v>
      </c>
      <c r="T25">
        <v>0.88571428600000002</v>
      </c>
      <c r="U25">
        <v>23</v>
      </c>
      <c r="V25">
        <f>Table1[[#This Row],[orig_m]]+Table1[[#This Row],[orig_n]]+Table1[[#This Row],[orig_k]]-2</f>
        <v>94</v>
      </c>
      <c r="W25">
        <f>Table1[[#This Row],[Dense Baseline]]-Table1[[#This Row],[cycles]]</f>
        <v>32</v>
      </c>
      <c r="X25">
        <f>(Table1[[#This Row],[eff_macs]]/Table1[[#This Row],[cycles]])*0.07</f>
        <v>18.209032258064518</v>
      </c>
      <c r="Y25">
        <f>(Table1[[#This Row],[orig_macs]]/Table1[[#This Row],[cycles]])*0.07</f>
        <v>73.992258064516136</v>
      </c>
      <c r="Z25">
        <f>(Table1[[#This Row],[Dense-Equivalent Throughput (GOPS)]] / IF(Table1[[#This Row],[config]]=0,144781,7618)) * 1000</f>
        <v>0.51106331676474215</v>
      </c>
      <c r="AA25">
        <f>(Table1[[#This Row],[Dense-Equivalent Throughput (GOPS)]] / 654.74 )/ IF(Table1[[#This Row],[config]]=0, 42381, 7618) * 10^9</f>
        <v>2666.5283611541827</v>
      </c>
      <c r="AB25">
        <f>IF(Table1[[#This Row],[config]]=0, 2860, 2210) * (Table1[[#This Row],[cycles]] / 70) / 1000</f>
        <v>2.5331428571428569</v>
      </c>
    </row>
    <row r="26" spans="1:28" x14ac:dyDescent="0.25">
      <c r="A26" t="s">
        <v>20</v>
      </c>
      <c r="B26" t="s">
        <v>21</v>
      </c>
      <c r="C26">
        <v>0</v>
      </c>
      <c r="D26">
        <v>25</v>
      </c>
      <c r="E26">
        <v>32</v>
      </c>
      <c r="F26">
        <v>32</v>
      </c>
      <c r="G26">
        <v>32</v>
      </c>
      <c r="H26">
        <v>31</v>
      </c>
      <c r="I26">
        <v>19</v>
      </c>
      <c r="J26">
        <v>18</v>
      </c>
      <c r="K26">
        <v>0</v>
      </c>
      <c r="L26">
        <v>32</v>
      </c>
      <c r="M26">
        <v>0.5605</v>
      </c>
      <c r="N26">
        <v>65536</v>
      </c>
      <c r="O26">
        <v>21204</v>
      </c>
      <c r="P26">
        <v>0.67649999999999999</v>
      </c>
      <c r="Q26">
        <v>66</v>
      </c>
      <c r="R26">
        <v>68.400000000000006</v>
      </c>
      <c r="S26" t="b">
        <v>1</v>
      </c>
      <c r="T26">
        <v>0.94285714300000001</v>
      </c>
      <c r="U26">
        <v>24</v>
      </c>
      <c r="V26">
        <f>Table1[[#This Row],[orig_m]]+Table1[[#This Row],[orig_n]]+Table1[[#This Row],[orig_k]]-2</f>
        <v>94</v>
      </c>
      <c r="W26">
        <f>Table1[[#This Row],[Dense Baseline]]-Table1[[#This Row],[cycles]]</f>
        <v>28</v>
      </c>
      <c r="X26">
        <f>(Table1[[#This Row],[eff_macs]]/Table1[[#This Row],[cycles]])*0.07</f>
        <v>22.489090909090908</v>
      </c>
      <c r="Y26">
        <f>(Table1[[#This Row],[orig_macs]]/Table1[[#This Row],[cycles]])*0.07</f>
        <v>69.507878787878795</v>
      </c>
      <c r="Z26">
        <f>(Table1[[#This Row],[Dense-Equivalent Throughput (GOPS)]] / IF(Table1[[#This Row],[config]]=0,144781,7618)) * 1000</f>
        <v>0.48008978241536382</v>
      </c>
      <c r="AA26">
        <f>(Table1[[#This Row],[Dense-Equivalent Throughput (GOPS)]] / 654.74 )/ IF(Table1[[#This Row],[config]]=0, 42381, 7618) * 10^9</f>
        <v>2504.9205816902927</v>
      </c>
      <c r="AB26">
        <f>IF(Table1[[#This Row],[config]]=0, 2860, 2210) * (Table1[[#This Row],[cycles]] / 70) / 1000</f>
        <v>2.6965714285714286</v>
      </c>
    </row>
    <row r="27" spans="1:28" x14ac:dyDescent="0.25">
      <c r="A27" t="s">
        <v>20</v>
      </c>
      <c r="B27" t="s">
        <v>21</v>
      </c>
      <c r="C27">
        <v>0</v>
      </c>
      <c r="D27">
        <v>26</v>
      </c>
      <c r="E27">
        <v>32</v>
      </c>
      <c r="F27">
        <v>32</v>
      </c>
      <c r="G27">
        <v>32</v>
      </c>
      <c r="H27">
        <v>31</v>
      </c>
      <c r="I27">
        <v>17</v>
      </c>
      <c r="J27">
        <v>18</v>
      </c>
      <c r="K27">
        <v>0</v>
      </c>
      <c r="L27">
        <v>32</v>
      </c>
      <c r="M27">
        <v>0.57809999999999995</v>
      </c>
      <c r="N27">
        <v>65536</v>
      </c>
      <c r="O27">
        <v>18972</v>
      </c>
      <c r="P27">
        <v>0.71050000000000002</v>
      </c>
      <c r="Q27">
        <v>64</v>
      </c>
      <c r="R27">
        <v>179.5</v>
      </c>
      <c r="S27" t="b">
        <v>1</v>
      </c>
      <c r="T27">
        <v>0.91428571400000003</v>
      </c>
      <c r="U27">
        <v>25</v>
      </c>
      <c r="V27">
        <f>Table1[[#This Row],[orig_m]]+Table1[[#This Row],[orig_n]]+Table1[[#This Row],[orig_k]]-2</f>
        <v>94</v>
      </c>
      <c r="W27">
        <f>Table1[[#This Row],[Dense Baseline]]-Table1[[#This Row],[cycles]]</f>
        <v>30</v>
      </c>
      <c r="X27">
        <f>(Table1[[#This Row],[eff_macs]]/Table1[[#This Row],[cycles]])*0.07</f>
        <v>20.750625000000003</v>
      </c>
      <c r="Y27">
        <f>(Table1[[#This Row],[orig_macs]]/Table1[[#This Row],[cycles]])*0.07</f>
        <v>71.680000000000007</v>
      </c>
      <c r="Z27">
        <f>(Table1[[#This Row],[Dense-Equivalent Throughput (GOPS)]] / IF(Table1[[#This Row],[config]]=0,144781,7618)) * 1000</f>
        <v>0.49509258811584395</v>
      </c>
      <c r="AA27">
        <f>(Table1[[#This Row],[Dense-Equivalent Throughput (GOPS)]] / 654.74 )/ IF(Table1[[#This Row],[config]]=0, 42381, 7618) * 10^9</f>
        <v>2583.1993498681145</v>
      </c>
      <c r="AB27">
        <f>IF(Table1[[#This Row],[config]]=0, 2860, 2210) * (Table1[[#This Row],[cycles]] / 70) / 1000</f>
        <v>2.6148571428571428</v>
      </c>
    </row>
    <row r="28" spans="1:28" x14ac:dyDescent="0.25">
      <c r="A28" t="s">
        <v>20</v>
      </c>
      <c r="B28" t="s">
        <v>21</v>
      </c>
      <c r="C28">
        <v>0</v>
      </c>
      <c r="D28">
        <v>27</v>
      </c>
      <c r="E28">
        <v>32</v>
      </c>
      <c r="F28">
        <v>32</v>
      </c>
      <c r="G28">
        <v>32</v>
      </c>
      <c r="H28">
        <v>31</v>
      </c>
      <c r="I28">
        <v>12</v>
      </c>
      <c r="J28">
        <v>18</v>
      </c>
      <c r="K28">
        <v>0</v>
      </c>
      <c r="L28">
        <v>32</v>
      </c>
      <c r="M28">
        <v>0.62209999999999999</v>
      </c>
      <c r="N28">
        <v>65536</v>
      </c>
      <c r="O28">
        <v>13392</v>
      </c>
      <c r="P28">
        <v>0.79569999999999996</v>
      </c>
      <c r="Q28">
        <v>59</v>
      </c>
      <c r="R28">
        <v>55.9</v>
      </c>
      <c r="S28" t="b">
        <v>1</v>
      </c>
      <c r="T28">
        <v>0.84285714300000003</v>
      </c>
      <c r="U28">
        <v>26</v>
      </c>
      <c r="V28">
        <f>Table1[[#This Row],[orig_m]]+Table1[[#This Row],[orig_n]]+Table1[[#This Row],[orig_k]]-2</f>
        <v>94</v>
      </c>
      <c r="W28">
        <f>Table1[[#This Row],[Dense Baseline]]-Table1[[#This Row],[cycles]]</f>
        <v>35</v>
      </c>
      <c r="X28">
        <f>(Table1[[#This Row],[eff_macs]]/Table1[[#This Row],[cycles]])*0.07</f>
        <v>15.888813559322037</v>
      </c>
      <c r="Y28">
        <f>(Table1[[#This Row],[orig_macs]]/Table1[[#This Row],[cycles]])*0.07</f>
        <v>77.754576271186451</v>
      </c>
      <c r="Z28">
        <f>(Table1[[#This Row],[Dense-Equivalent Throughput (GOPS)]] / IF(Table1[[#This Row],[config]]=0,144781,7618)) * 1000</f>
        <v>0.5370495871087122</v>
      </c>
      <c r="AA28">
        <f>(Table1[[#This Row],[Dense-Equivalent Throughput (GOPS)]] / 654.74 )/ IF(Table1[[#This Row],[config]]=0, 42381, 7618) * 10^9</f>
        <v>2802.11454900948</v>
      </c>
      <c r="AB28">
        <f>IF(Table1[[#This Row],[config]]=0, 2860, 2210) * (Table1[[#This Row],[cycles]] / 70) / 1000</f>
        <v>2.4105714285714286</v>
      </c>
    </row>
    <row r="29" spans="1:28" x14ac:dyDescent="0.25">
      <c r="A29" t="s">
        <v>20</v>
      </c>
      <c r="B29" t="s">
        <v>21</v>
      </c>
      <c r="C29">
        <v>0</v>
      </c>
      <c r="D29">
        <v>28</v>
      </c>
      <c r="E29">
        <v>32</v>
      </c>
      <c r="F29">
        <v>32</v>
      </c>
      <c r="G29">
        <v>32</v>
      </c>
      <c r="H29">
        <v>31</v>
      </c>
      <c r="I29">
        <v>17</v>
      </c>
      <c r="J29">
        <v>18</v>
      </c>
      <c r="K29">
        <v>0</v>
      </c>
      <c r="L29">
        <v>32</v>
      </c>
      <c r="M29">
        <v>0.57809999999999995</v>
      </c>
      <c r="N29">
        <v>65536</v>
      </c>
      <c r="O29">
        <v>18972</v>
      </c>
      <c r="P29">
        <v>0.71050000000000002</v>
      </c>
      <c r="Q29">
        <v>64</v>
      </c>
      <c r="R29">
        <v>181</v>
      </c>
      <c r="S29" t="b">
        <v>1</v>
      </c>
      <c r="T29">
        <v>0.91428571400000003</v>
      </c>
      <c r="U29">
        <v>27</v>
      </c>
      <c r="V29">
        <f>Table1[[#This Row],[orig_m]]+Table1[[#This Row],[orig_n]]+Table1[[#This Row],[orig_k]]-2</f>
        <v>94</v>
      </c>
      <c r="W29">
        <f>Table1[[#This Row],[Dense Baseline]]-Table1[[#This Row],[cycles]]</f>
        <v>30</v>
      </c>
      <c r="X29">
        <f>(Table1[[#This Row],[eff_macs]]/Table1[[#This Row],[cycles]])*0.07</f>
        <v>20.750625000000003</v>
      </c>
      <c r="Y29">
        <f>(Table1[[#This Row],[orig_macs]]/Table1[[#This Row],[cycles]])*0.07</f>
        <v>71.680000000000007</v>
      </c>
      <c r="Z29">
        <f>(Table1[[#This Row],[Dense-Equivalent Throughput (GOPS)]] / IF(Table1[[#This Row],[config]]=0,144781,7618)) * 1000</f>
        <v>0.49509258811584395</v>
      </c>
      <c r="AA29">
        <f>(Table1[[#This Row],[Dense-Equivalent Throughput (GOPS)]] / 654.74 )/ IF(Table1[[#This Row],[config]]=0, 42381, 7618) * 10^9</f>
        <v>2583.1993498681145</v>
      </c>
      <c r="AB29">
        <f>IF(Table1[[#This Row],[config]]=0, 2860, 2210) * (Table1[[#This Row],[cycles]] / 70) / 1000</f>
        <v>2.6148571428571428</v>
      </c>
    </row>
    <row r="30" spans="1:28" x14ac:dyDescent="0.25">
      <c r="A30" t="s">
        <v>20</v>
      </c>
      <c r="B30" t="s">
        <v>21</v>
      </c>
      <c r="C30">
        <v>0</v>
      </c>
      <c r="D30">
        <v>29</v>
      </c>
      <c r="E30">
        <v>32</v>
      </c>
      <c r="F30">
        <v>32</v>
      </c>
      <c r="G30">
        <v>32</v>
      </c>
      <c r="H30">
        <v>31</v>
      </c>
      <c r="I30">
        <v>21</v>
      </c>
      <c r="J30">
        <v>18</v>
      </c>
      <c r="K30">
        <v>0</v>
      </c>
      <c r="L30">
        <v>32</v>
      </c>
      <c r="M30">
        <v>0.54300000000000004</v>
      </c>
      <c r="N30">
        <v>65536</v>
      </c>
      <c r="O30">
        <v>23436</v>
      </c>
      <c r="P30">
        <v>0.64239999999999997</v>
      </c>
      <c r="Q30">
        <v>68</v>
      </c>
      <c r="R30">
        <v>39</v>
      </c>
      <c r="S30" t="b">
        <v>1</v>
      </c>
      <c r="T30">
        <v>0.97142857100000002</v>
      </c>
      <c r="U30">
        <v>28</v>
      </c>
      <c r="V30">
        <f>Table1[[#This Row],[orig_m]]+Table1[[#This Row],[orig_n]]+Table1[[#This Row],[orig_k]]-2</f>
        <v>94</v>
      </c>
      <c r="W30">
        <f>Table1[[#This Row],[Dense Baseline]]-Table1[[#This Row],[cycles]]</f>
        <v>26</v>
      </c>
      <c r="X30">
        <f>(Table1[[#This Row],[eff_macs]]/Table1[[#This Row],[cycles]])*0.07</f>
        <v>24.125294117647059</v>
      </c>
      <c r="Y30">
        <f>(Table1[[#This Row],[orig_macs]]/Table1[[#This Row],[cycles]])*0.07</f>
        <v>67.463529411764711</v>
      </c>
      <c r="Z30">
        <f>(Table1[[#This Row],[Dense-Equivalent Throughput (GOPS)]] / IF(Table1[[#This Row],[config]]=0,144781,7618)) * 1000</f>
        <v>0.4659694946972649</v>
      </c>
      <c r="AA30">
        <f>(Table1[[#This Row],[Dense-Equivalent Throughput (GOPS)]] / 654.74 )/ IF(Table1[[#This Row],[config]]=0, 42381, 7618) * 10^9</f>
        <v>2431.246446934696</v>
      </c>
      <c r="AB30">
        <f>IF(Table1[[#This Row],[config]]=0, 2860, 2210) * (Table1[[#This Row],[cycles]] / 70) / 1000</f>
        <v>2.778285714285714</v>
      </c>
    </row>
    <row r="31" spans="1:28" x14ac:dyDescent="0.25">
      <c r="A31" t="s">
        <v>20</v>
      </c>
      <c r="B31" t="s">
        <v>21</v>
      </c>
      <c r="C31">
        <v>0</v>
      </c>
      <c r="D31">
        <v>30</v>
      </c>
      <c r="E31">
        <v>32</v>
      </c>
      <c r="F31">
        <v>32</v>
      </c>
      <c r="G31">
        <v>32</v>
      </c>
      <c r="H31">
        <v>31</v>
      </c>
      <c r="I31">
        <v>20</v>
      </c>
      <c r="J31">
        <v>18</v>
      </c>
      <c r="K31">
        <v>0</v>
      </c>
      <c r="L31">
        <v>32</v>
      </c>
      <c r="M31">
        <v>0.55179999999999996</v>
      </c>
      <c r="N31">
        <v>65536</v>
      </c>
      <c r="O31">
        <v>22320</v>
      </c>
      <c r="P31">
        <v>0.65939999999999999</v>
      </c>
      <c r="Q31">
        <v>67</v>
      </c>
      <c r="R31">
        <v>39.9</v>
      </c>
      <c r="S31" t="b">
        <v>1</v>
      </c>
      <c r="T31">
        <v>0.95714285700000001</v>
      </c>
      <c r="U31">
        <v>29</v>
      </c>
      <c r="V31">
        <f>Table1[[#This Row],[orig_m]]+Table1[[#This Row],[orig_n]]+Table1[[#This Row],[orig_k]]-2</f>
        <v>94</v>
      </c>
      <c r="W31">
        <f>Table1[[#This Row],[Dense Baseline]]-Table1[[#This Row],[cycles]]</f>
        <v>27</v>
      </c>
      <c r="X31">
        <f>(Table1[[#This Row],[eff_macs]]/Table1[[#This Row],[cycles]])*0.07</f>
        <v>23.319402985074628</v>
      </c>
      <c r="Y31">
        <f>(Table1[[#This Row],[orig_macs]]/Table1[[#This Row],[cycles]])*0.07</f>
        <v>68.470447761194038</v>
      </c>
      <c r="Z31">
        <f>(Table1[[#This Row],[Dense-Equivalent Throughput (GOPS)]] / IF(Table1[[#This Row],[config]]=0,144781,7618)) * 1000</f>
        <v>0.47292426327483605</v>
      </c>
      <c r="AA31">
        <f>(Table1[[#This Row],[Dense-Equivalent Throughput (GOPS)]] / 654.74 )/ IF(Table1[[#This Row],[config]]=0, 42381, 7618) * 10^9</f>
        <v>2467.5337073367064</v>
      </c>
      <c r="AB31">
        <f>IF(Table1[[#This Row],[config]]=0, 2860, 2210) * (Table1[[#This Row],[cycles]] / 70) / 1000</f>
        <v>2.7374285714285715</v>
      </c>
    </row>
    <row r="32" spans="1:28" x14ac:dyDescent="0.25">
      <c r="A32" t="s">
        <v>20</v>
      </c>
      <c r="B32" t="s">
        <v>21</v>
      </c>
      <c r="C32">
        <v>0</v>
      </c>
      <c r="D32">
        <v>31</v>
      </c>
      <c r="E32">
        <v>32</v>
      </c>
      <c r="F32">
        <v>32</v>
      </c>
      <c r="G32">
        <v>32</v>
      </c>
      <c r="H32">
        <v>31</v>
      </c>
      <c r="I32">
        <v>21</v>
      </c>
      <c r="J32">
        <v>18</v>
      </c>
      <c r="K32">
        <v>0</v>
      </c>
      <c r="L32">
        <v>32</v>
      </c>
      <c r="M32">
        <v>0.54300000000000004</v>
      </c>
      <c r="N32">
        <v>65536</v>
      </c>
      <c r="O32">
        <v>23436</v>
      </c>
      <c r="P32">
        <v>0.64239999999999997</v>
      </c>
      <c r="Q32">
        <v>68</v>
      </c>
      <c r="R32">
        <v>58.8</v>
      </c>
      <c r="S32" t="b">
        <v>1</v>
      </c>
      <c r="T32">
        <v>0.97142857100000002</v>
      </c>
      <c r="U32">
        <v>30</v>
      </c>
      <c r="V32">
        <f>Table1[[#This Row],[orig_m]]+Table1[[#This Row],[orig_n]]+Table1[[#This Row],[orig_k]]-2</f>
        <v>94</v>
      </c>
      <c r="W32">
        <f>Table1[[#This Row],[Dense Baseline]]-Table1[[#This Row],[cycles]]</f>
        <v>26</v>
      </c>
      <c r="X32">
        <f>(Table1[[#This Row],[eff_macs]]/Table1[[#This Row],[cycles]])*0.07</f>
        <v>24.125294117647059</v>
      </c>
      <c r="Y32">
        <f>(Table1[[#This Row],[orig_macs]]/Table1[[#This Row],[cycles]])*0.07</f>
        <v>67.463529411764711</v>
      </c>
      <c r="Z32">
        <f>(Table1[[#This Row],[Dense-Equivalent Throughput (GOPS)]] / IF(Table1[[#This Row],[config]]=0,144781,7618)) * 1000</f>
        <v>0.4659694946972649</v>
      </c>
      <c r="AA32">
        <f>(Table1[[#This Row],[Dense-Equivalent Throughput (GOPS)]] / 654.74 )/ IF(Table1[[#This Row],[config]]=0, 42381, 7618) * 10^9</f>
        <v>2431.246446934696</v>
      </c>
      <c r="AB32">
        <f>IF(Table1[[#This Row],[config]]=0, 2860, 2210) * (Table1[[#This Row],[cycles]] / 70) / 1000</f>
        <v>2.778285714285714</v>
      </c>
    </row>
    <row r="33" spans="1:28" x14ac:dyDescent="0.25">
      <c r="A33" t="s">
        <v>20</v>
      </c>
      <c r="B33" t="s">
        <v>21</v>
      </c>
      <c r="C33">
        <v>0</v>
      </c>
      <c r="D33">
        <v>32</v>
      </c>
      <c r="E33">
        <v>32</v>
      </c>
      <c r="F33">
        <v>32</v>
      </c>
      <c r="G33">
        <v>32</v>
      </c>
      <c r="H33">
        <v>31</v>
      </c>
      <c r="I33">
        <v>14</v>
      </c>
      <c r="J33">
        <v>18</v>
      </c>
      <c r="K33">
        <v>0</v>
      </c>
      <c r="L33">
        <v>32</v>
      </c>
      <c r="M33">
        <v>0.60450000000000004</v>
      </c>
      <c r="N33">
        <v>65536</v>
      </c>
      <c r="O33">
        <v>15624</v>
      </c>
      <c r="P33">
        <v>0.76160000000000005</v>
      </c>
      <c r="Q33">
        <v>61</v>
      </c>
      <c r="R33">
        <v>39.700000000000003</v>
      </c>
      <c r="S33" t="b">
        <v>1</v>
      </c>
      <c r="T33">
        <v>0.87142857100000004</v>
      </c>
      <c r="U33">
        <v>31</v>
      </c>
      <c r="V33">
        <f>Table1[[#This Row],[orig_m]]+Table1[[#This Row],[orig_n]]+Table1[[#This Row],[orig_k]]-2</f>
        <v>94</v>
      </c>
      <c r="W33">
        <f>Table1[[#This Row],[Dense Baseline]]-Table1[[#This Row],[cycles]]</f>
        <v>33</v>
      </c>
      <c r="X33">
        <f>(Table1[[#This Row],[eff_macs]]/Table1[[#This Row],[cycles]])*0.07</f>
        <v>17.929180327868853</v>
      </c>
      <c r="Y33">
        <f>(Table1[[#This Row],[orig_macs]]/Table1[[#This Row],[cycles]])*0.07</f>
        <v>75.205245901639358</v>
      </c>
      <c r="Z33">
        <f>(Table1[[#This Row],[Dense-Equivalent Throughput (GOPS)]] / IF(Table1[[#This Row],[config]]=0,144781,7618)) * 1000</f>
        <v>0.51944140392481997</v>
      </c>
      <c r="AA33">
        <f>(Table1[[#This Row],[Dense-Equivalent Throughput (GOPS)]] / 654.74 )/ IF(Table1[[#This Row],[config]]=0, 42381, 7618) * 10^9</f>
        <v>2710.2419408452347</v>
      </c>
      <c r="AB33">
        <f>IF(Table1[[#This Row],[config]]=0, 2860, 2210) * (Table1[[#This Row],[cycles]] / 70) / 1000</f>
        <v>2.4922857142857144</v>
      </c>
    </row>
    <row r="34" spans="1:28" x14ac:dyDescent="0.25">
      <c r="A34" t="s">
        <v>20</v>
      </c>
      <c r="B34" t="s">
        <v>21</v>
      </c>
      <c r="C34">
        <v>0</v>
      </c>
      <c r="D34">
        <v>33</v>
      </c>
      <c r="E34">
        <v>32</v>
      </c>
      <c r="F34">
        <v>32</v>
      </c>
      <c r="G34">
        <v>32</v>
      </c>
      <c r="H34">
        <v>32</v>
      </c>
      <c r="I34">
        <v>19</v>
      </c>
      <c r="J34">
        <v>18</v>
      </c>
      <c r="K34">
        <v>0</v>
      </c>
      <c r="L34">
        <v>32</v>
      </c>
      <c r="M34">
        <v>0.55179999999999996</v>
      </c>
      <c r="N34">
        <v>65536</v>
      </c>
      <c r="O34">
        <v>21888</v>
      </c>
      <c r="P34">
        <v>0.66600000000000004</v>
      </c>
      <c r="Q34">
        <v>67</v>
      </c>
      <c r="R34">
        <v>39.700000000000003</v>
      </c>
      <c r="S34" t="b">
        <v>1</v>
      </c>
      <c r="T34">
        <v>0.95714285700000001</v>
      </c>
      <c r="U34">
        <v>32</v>
      </c>
      <c r="V34">
        <f>Table1[[#This Row],[orig_m]]+Table1[[#This Row],[orig_n]]+Table1[[#This Row],[orig_k]]-2</f>
        <v>94</v>
      </c>
      <c r="W34">
        <f>Table1[[#This Row],[Dense Baseline]]-Table1[[#This Row],[cycles]]</f>
        <v>27</v>
      </c>
      <c r="X34">
        <f>(Table1[[#This Row],[eff_macs]]/Table1[[#This Row],[cycles]])*0.07</f>
        <v>22.868059701492541</v>
      </c>
      <c r="Y34">
        <f>(Table1[[#This Row],[orig_macs]]/Table1[[#This Row],[cycles]])*0.07</f>
        <v>68.470447761194038</v>
      </c>
      <c r="Z34">
        <f>(Table1[[#This Row],[Dense-Equivalent Throughput (GOPS)]] / IF(Table1[[#This Row],[config]]=0,144781,7618)) * 1000</f>
        <v>0.47292426327483605</v>
      </c>
      <c r="AA34">
        <f>(Table1[[#This Row],[Dense-Equivalent Throughput (GOPS)]] / 654.74 )/ IF(Table1[[#This Row],[config]]=0, 42381, 7618) * 10^9</f>
        <v>2467.5337073367064</v>
      </c>
      <c r="AB34">
        <f>IF(Table1[[#This Row],[config]]=0, 2860, 2210) * (Table1[[#This Row],[cycles]] / 70) / 1000</f>
        <v>2.7374285714285715</v>
      </c>
    </row>
    <row r="35" spans="1:28" x14ac:dyDescent="0.25">
      <c r="A35" t="s">
        <v>20</v>
      </c>
      <c r="B35" t="s">
        <v>21</v>
      </c>
      <c r="C35">
        <v>0</v>
      </c>
      <c r="D35">
        <v>34</v>
      </c>
      <c r="E35">
        <v>32</v>
      </c>
      <c r="F35">
        <v>32</v>
      </c>
      <c r="G35">
        <v>32</v>
      </c>
      <c r="H35">
        <v>32</v>
      </c>
      <c r="I35">
        <v>17</v>
      </c>
      <c r="J35">
        <v>18</v>
      </c>
      <c r="K35">
        <v>0</v>
      </c>
      <c r="L35">
        <v>32</v>
      </c>
      <c r="M35">
        <v>0.56930000000000003</v>
      </c>
      <c r="N35">
        <v>65536</v>
      </c>
      <c r="O35">
        <v>19584</v>
      </c>
      <c r="P35">
        <v>0.70120000000000005</v>
      </c>
      <c r="Q35">
        <v>65</v>
      </c>
      <c r="R35">
        <v>40.5</v>
      </c>
      <c r="S35" t="b">
        <v>1</v>
      </c>
      <c r="T35">
        <v>0.928571429</v>
      </c>
      <c r="U35">
        <v>33</v>
      </c>
      <c r="V35">
        <f>Table1[[#This Row],[orig_m]]+Table1[[#This Row],[orig_n]]+Table1[[#This Row],[orig_k]]-2</f>
        <v>94</v>
      </c>
      <c r="W35">
        <f>Table1[[#This Row],[Dense Baseline]]-Table1[[#This Row],[cycles]]</f>
        <v>29</v>
      </c>
      <c r="X35">
        <f>(Table1[[#This Row],[eff_macs]]/Table1[[#This Row],[cycles]])*0.07</f>
        <v>21.09046153846154</v>
      </c>
      <c r="Y35">
        <f>(Table1[[#This Row],[orig_macs]]/Table1[[#This Row],[cycles]])*0.07</f>
        <v>70.577230769230781</v>
      </c>
      <c r="Z35">
        <f>(Table1[[#This Row],[Dense-Equivalent Throughput (GOPS)]] / IF(Table1[[#This Row],[config]]=0,144781,7618)) * 1000</f>
        <v>0.48747577906790795</v>
      </c>
      <c r="AA35">
        <f>(Table1[[#This Row],[Dense-Equivalent Throughput (GOPS)]] / 654.74 )/ IF(Table1[[#This Row],[config]]=0, 42381, 7618) * 10^9</f>
        <v>2543.457821408605</v>
      </c>
      <c r="AB35">
        <f>IF(Table1[[#This Row],[config]]=0, 2860, 2210) * (Table1[[#This Row],[cycles]] / 70) / 1000</f>
        <v>2.6557142857142857</v>
      </c>
    </row>
    <row r="36" spans="1:28" x14ac:dyDescent="0.25">
      <c r="A36" t="s">
        <v>20</v>
      </c>
      <c r="B36" t="s">
        <v>21</v>
      </c>
      <c r="C36">
        <v>0</v>
      </c>
      <c r="D36">
        <v>35</v>
      </c>
      <c r="E36">
        <v>32</v>
      </c>
      <c r="F36">
        <v>32</v>
      </c>
      <c r="G36">
        <v>32</v>
      </c>
      <c r="H36">
        <v>32</v>
      </c>
      <c r="I36">
        <v>12</v>
      </c>
      <c r="J36">
        <v>18</v>
      </c>
      <c r="K36">
        <v>0</v>
      </c>
      <c r="L36">
        <v>32</v>
      </c>
      <c r="M36">
        <v>0.61329999999999996</v>
      </c>
      <c r="N36">
        <v>65536</v>
      </c>
      <c r="O36">
        <v>13824</v>
      </c>
      <c r="P36">
        <v>0.78910000000000002</v>
      </c>
      <c r="Q36">
        <v>60</v>
      </c>
      <c r="R36">
        <v>55.3</v>
      </c>
      <c r="S36" t="b">
        <v>1</v>
      </c>
      <c r="T36">
        <v>0.85714285700000004</v>
      </c>
      <c r="U36">
        <v>34</v>
      </c>
      <c r="V36">
        <f>Table1[[#This Row],[orig_m]]+Table1[[#This Row],[orig_n]]+Table1[[#This Row],[orig_k]]-2</f>
        <v>94</v>
      </c>
      <c r="W36">
        <f>Table1[[#This Row],[Dense Baseline]]-Table1[[#This Row],[cycles]]</f>
        <v>34</v>
      </c>
      <c r="X36">
        <f>(Table1[[#This Row],[eff_macs]]/Table1[[#This Row],[cycles]])*0.07</f>
        <v>16.128000000000004</v>
      </c>
      <c r="Y36">
        <f>(Table1[[#This Row],[orig_macs]]/Table1[[#This Row],[cycles]])*0.07</f>
        <v>76.458666666666673</v>
      </c>
      <c r="Z36">
        <f>(Table1[[#This Row],[Dense-Equivalent Throughput (GOPS)]] / IF(Table1[[#This Row],[config]]=0,144781,7618)) * 1000</f>
        <v>0.52809876065690031</v>
      </c>
      <c r="AA36">
        <f>(Table1[[#This Row],[Dense-Equivalent Throughput (GOPS)]] / 654.74 )/ IF(Table1[[#This Row],[config]]=0, 42381, 7618) * 10^9</f>
        <v>2755.4126398593216</v>
      </c>
      <c r="AB36">
        <f>IF(Table1[[#This Row],[config]]=0, 2860, 2210) * (Table1[[#This Row],[cycles]] / 70) / 1000</f>
        <v>2.4514285714285711</v>
      </c>
    </row>
    <row r="37" spans="1:28" x14ac:dyDescent="0.25">
      <c r="A37" t="s">
        <v>20</v>
      </c>
      <c r="B37" t="s">
        <v>21</v>
      </c>
      <c r="C37">
        <v>0</v>
      </c>
      <c r="D37">
        <v>36</v>
      </c>
      <c r="E37">
        <v>32</v>
      </c>
      <c r="F37">
        <v>32</v>
      </c>
      <c r="G37">
        <v>32</v>
      </c>
      <c r="H37">
        <v>32</v>
      </c>
      <c r="I37">
        <v>17</v>
      </c>
      <c r="J37">
        <v>18</v>
      </c>
      <c r="K37">
        <v>0</v>
      </c>
      <c r="L37">
        <v>32</v>
      </c>
      <c r="M37">
        <v>0.56930000000000003</v>
      </c>
      <c r="N37">
        <v>65536</v>
      </c>
      <c r="O37">
        <v>19584</v>
      </c>
      <c r="P37">
        <v>0.70120000000000005</v>
      </c>
      <c r="Q37">
        <v>65</v>
      </c>
      <c r="R37">
        <v>38.5</v>
      </c>
      <c r="S37" t="b">
        <v>1</v>
      </c>
      <c r="T37">
        <v>0.928571429</v>
      </c>
      <c r="U37">
        <v>35</v>
      </c>
      <c r="V37">
        <f>Table1[[#This Row],[orig_m]]+Table1[[#This Row],[orig_n]]+Table1[[#This Row],[orig_k]]-2</f>
        <v>94</v>
      </c>
      <c r="W37">
        <f>Table1[[#This Row],[Dense Baseline]]-Table1[[#This Row],[cycles]]</f>
        <v>29</v>
      </c>
      <c r="X37">
        <f>(Table1[[#This Row],[eff_macs]]/Table1[[#This Row],[cycles]])*0.07</f>
        <v>21.09046153846154</v>
      </c>
      <c r="Y37">
        <f>(Table1[[#This Row],[orig_macs]]/Table1[[#This Row],[cycles]])*0.07</f>
        <v>70.577230769230781</v>
      </c>
      <c r="Z37">
        <f>(Table1[[#This Row],[Dense-Equivalent Throughput (GOPS)]] / IF(Table1[[#This Row],[config]]=0,144781,7618)) * 1000</f>
        <v>0.48747577906790795</v>
      </c>
      <c r="AA37">
        <f>(Table1[[#This Row],[Dense-Equivalent Throughput (GOPS)]] / 654.74 )/ IF(Table1[[#This Row],[config]]=0, 42381, 7618) * 10^9</f>
        <v>2543.457821408605</v>
      </c>
      <c r="AB37">
        <f>IF(Table1[[#This Row],[config]]=0, 2860, 2210) * (Table1[[#This Row],[cycles]] / 70) / 1000</f>
        <v>2.6557142857142857</v>
      </c>
    </row>
    <row r="38" spans="1:28" x14ac:dyDescent="0.25">
      <c r="A38" t="s">
        <v>20</v>
      </c>
      <c r="B38" t="s">
        <v>21</v>
      </c>
      <c r="C38">
        <v>0</v>
      </c>
      <c r="D38">
        <v>37</v>
      </c>
      <c r="E38">
        <v>32</v>
      </c>
      <c r="F38">
        <v>32</v>
      </c>
      <c r="G38">
        <v>32</v>
      </c>
      <c r="H38">
        <v>32</v>
      </c>
      <c r="I38">
        <v>21</v>
      </c>
      <c r="J38">
        <v>18</v>
      </c>
      <c r="K38">
        <v>0</v>
      </c>
      <c r="L38">
        <v>32</v>
      </c>
      <c r="M38">
        <v>0.53420000000000001</v>
      </c>
      <c r="N38">
        <v>65536</v>
      </c>
      <c r="O38">
        <v>24192</v>
      </c>
      <c r="P38">
        <v>0.63090000000000002</v>
      </c>
      <c r="Q38">
        <v>69</v>
      </c>
      <c r="R38">
        <v>40.200000000000003</v>
      </c>
      <c r="S38" t="b">
        <v>1</v>
      </c>
      <c r="T38">
        <v>0.985714286</v>
      </c>
      <c r="U38">
        <v>36</v>
      </c>
      <c r="V38">
        <f>Table1[[#This Row],[orig_m]]+Table1[[#This Row],[orig_n]]+Table1[[#This Row],[orig_k]]-2</f>
        <v>94</v>
      </c>
      <c r="W38">
        <f>Table1[[#This Row],[Dense Baseline]]-Table1[[#This Row],[cycles]]</f>
        <v>25</v>
      </c>
      <c r="X38">
        <f>(Table1[[#This Row],[eff_macs]]/Table1[[#This Row],[cycles]])*0.07</f>
        <v>24.542608695652177</v>
      </c>
      <c r="Y38">
        <f>(Table1[[#This Row],[orig_macs]]/Table1[[#This Row],[cycles]])*0.07</f>
        <v>66.485797101449279</v>
      </c>
      <c r="Z38">
        <f>(Table1[[#This Row],[Dense-Equivalent Throughput (GOPS)]] / IF(Table1[[#This Row],[config]]=0,144781,7618)) * 1000</f>
        <v>0.45921631361469584</v>
      </c>
      <c r="AA38">
        <f>(Table1[[#This Row],[Dense-Equivalent Throughput (GOPS)]] / 654.74 )/ IF(Table1[[#This Row],[config]]=0, 42381, 7618) * 10^9</f>
        <v>2396.0109911820191</v>
      </c>
      <c r="AB38">
        <f>IF(Table1[[#This Row],[config]]=0, 2860, 2210) * (Table1[[#This Row],[cycles]] / 70) / 1000</f>
        <v>2.8191428571428574</v>
      </c>
    </row>
    <row r="39" spans="1:28" x14ac:dyDescent="0.25">
      <c r="A39" t="s">
        <v>20</v>
      </c>
      <c r="B39" t="s">
        <v>21</v>
      </c>
      <c r="C39">
        <v>0</v>
      </c>
      <c r="D39">
        <v>38</v>
      </c>
      <c r="E39">
        <v>32</v>
      </c>
      <c r="F39">
        <v>32</v>
      </c>
      <c r="G39">
        <v>32</v>
      </c>
      <c r="H39">
        <v>32</v>
      </c>
      <c r="I39">
        <v>20</v>
      </c>
      <c r="J39">
        <v>18</v>
      </c>
      <c r="K39">
        <v>0</v>
      </c>
      <c r="L39">
        <v>32</v>
      </c>
      <c r="M39">
        <v>0.54300000000000004</v>
      </c>
      <c r="N39">
        <v>65536</v>
      </c>
      <c r="O39">
        <v>23040</v>
      </c>
      <c r="P39">
        <v>0.64839999999999998</v>
      </c>
      <c r="Q39">
        <v>68</v>
      </c>
      <c r="R39">
        <v>39.9</v>
      </c>
      <c r="S39" t="b">
        <v>1</v>
      </c>
      <c r="T39">
        <v>0.97142857100000002</v>
      </c>
      <c r="U39">
        <v>37</v>
      </c>
      <c r="V39">
        <f>Table1[[#This Row],[orig_m]]+Table1[[#This Row],[orig_n]]+Table1[[#This Row],[orig_k]]-2</f>
        <v>94</v>
      </c>
      <c r="W39">
        <f>Table1[[#This Row],[Dense Baseline]]-Table1[[#This Row],[cycles]]</f>
        <v>26</v>
      </c>
      <c r="X39">
        <f>(Table1[[#This Row],[eff_macs]]/Table1[[#This Row],[cycles]])*0.07</f>
        <v>23.71764705882353</v>
      </c>
      <c r="Y39">
        <f>(Table1[[#This Row],[orig_macs]]/Table1[[#This Row],[cycles]])*0.07</f>
        <v>67.463529411764711</v>
      </c>
      <c r="Z39">
        <f>(Table1[[#This Row],[Dense-Equivalent Throughput (GOPS)]] / IF(Table1[[#This Row],[config]]=0,144781,7618)) * 1000</f>
        <v>0.4659694946972649</v>
      </c>
      <c r="AA39">
        <f>(Table1[[#This Row],[Dense-Equivalent Throughput (GOPS)]] / 654.74 )/ IF(Table1[[#This Row],[config]]=0, 42381, 7618) * 10^9</f>
        <v>2431.246446934696</v>
      </c>
      <c r="AB39">
        <f>IF(Table1[[#This Row],[config]]=0, 2860, 2210) * (Table1[[#This Row],[cycles]] / 70) / 1000</f>
        <v>2.778285714285714</v>
      </c>
    </row>
    <row r="40" spans="1:28" x14ac:dyDescent="0.25">
      <c r="A40" t="s">
        <v>20</v>
      </c>
      <c r="B40" t="s">
        <v>21</v>
      </c>
      <c r="C40">
        <v>0</v>
      </c>
      <c r="D40">
        <v>39</v>
      </c>
      <c r="E40">
        <v>32</v>
      </c>
      <c r="F40">
        <v>32</v>
      </c>
      <c r="G40">
        <v>32</v>
      </c>
      <c r="H40">
        <v>32</v>
      </c>
      <c r="I40">
        <v>21</v>
      </c>
      <c r="J40">
        <v>18</v>
      </c>
      <c r="K40">
        <v>0</v>
      </c>
      <c r="L40">
        <v>32</v>
      </c>
      <c r="M40">
        <v>0.53420000000000001</v>
      </c>
      <c r="N40">
        <v>65536</v>
      </c>
      <c r="O40">
        <v>24192</v>
      </c>
      <c r="P40">
        <v>0.63090000000000002</v>
      </c>
      <c r="Q40">
        <v>69</v>
      </c>
      <c r="R40">
        <v>53.5</v>
      </c>
      <c r="S40" t="b">
        <v>1</v>
      </c>
      <c r="T40">
        <v>0.985714286</v>
      </c>
      <c r="U40">
        <v>38</v>
      </c>
      <c r="V40">
        <f>Table1[[#This Row],[orig_m]]+Table1[[#This Row],[orig_n]]+Table1[[#This Row],[orig_k]]-2</f>
        <v>94</v>
      </c>
      <c r="W40">
        <f>Table1[[#This Row],[Dense Baseline]]-Table1[[#This Row],[cycles]]</f>
        <v>25</v>
      </c>
      <c r="X40">
        <f>(Table1[[#This Row],[eff_macs]]/Table1[[#This Row],[cycles]])*0.07</f>
        <v>24.542608695652177</v>
      </c>
      <c r="Y40">
        <f>(Table1[[#This Row],[orig_macs]]/Table1[[#This Row],[cycles]])*0.07</f>
        <v>66.485797101449279</v>
      </c>
      <c r="Z40">
        <f>(Table1[[#This Row],[Dense-Equivalent Throughput (GOPS)]] / IF(Table1[[#This Row],[config]]=0,144781,7618)) * 1000</f>
        <v>0.45921631361469584</v>
      </c>
      <c r="AA40">
        <f>(Table1[[#This Row],[Dense-Equivalent Throughput (GOPS)]] / 654.74 )/ IF(Table1[[#This Row],[config]]=0, 42381, 7618) * 10^9</f>
        <v>2396.0109911820191</v>
      </c>
      <c r="AB40">
        <f>IF(Table1[[#This Row],[config]]=0, 2860, 2210) * (Table1[[#This Row],[cycles]] / 70) / 1000</f>
        <v>2.8191428571428574</v>
      </c>
    </row>
    <row r="41" spans="1:28" x14ac:dyDescent="0.25">
      <c r="A41" t="s">
        <v>20</v>
      </c>
      <c r="B41" t="s">
        <v>21</v>
      </c>
      <c r="C41">
        <v>0</v>
      </c>
      <c r="D41">
        <v>40</v>
      </c>
      <c r="E41">
        <v>32</v>
      </c>
      <c r="F41">
        <v>32</v>
      </c>
      <c r="G41">
        <v>32</v>
      </c>
      <c r="H41">
        <v>32</v>
      </c>
      <c r="I41">
        <v>14</v>
      </c>
      <c r="J41">
        <v>18</v>
      </c>
      <c r="K41">
        <v>0</v>
      </c>
      <c r="L41">
        <v>32</v>
      </c>
      <c r="M41">
        <v>0.59570000000000001</v>
      </c>
      <c r="N41">
        <v>65536</v>
      </c>
      <c r="O41">
        <v>16128</v>
      </c>
      <c r="P41">
        <v>0.75390000000000001</v>
      </c>
      <c r="Q41">
        <v>62</v>
      </c>
      <c r="R41">
        <v>40.299999999999997</v>
      </c>
      <c r="S41" t="b">
        <v>1</v>
      </c>
      <c r="T41">
        <v>0.88571428600000002</v>
      </c>
      <c r="U41">
        <v>39</v>
      </c>
      <c r="V41">
        <f>Table1[[#This Row],[orig_m]]+Table1[[#This Row],[orig_n]]+Table1[[#This Row],[orig_k]]-2</f>
        <v>94</v>
      </c>
      <c r="W41">
        <f>Table1[[#This Row],[Dense Baseline]]-Table1[[#This Row],[cycles]]</f>
        <v>32</v>
      </c>
      <c r="X41">
        <f>(Table1[[#This Row],[eff_macs]]/Table1[[#This Row],[cycles]])*0.07</f>
        <v>18.209032258064518</v>
      </c>
      <c r="Y41">
        <f>(Table1[[#This Row],[orig_macs]]/Table1[[#This Row],[cycles]])*0.07</f>
        <v>73.992258064516136</v>
      </c>
      <c r="Z41">
        <f>(Table1[[#This Row],[Dense-Equivalent Throughput (GOPS)]] / IF(Table1[[#This Row],[config]]=0,144781,7618)) * 1000</f>
        <v>0.51106331676474215</v>
      </c>
      <c r="AA41">
        <f>(Table1[[#This Row],[Dense-Equivalent Throughput (GOPS)]] / 654.74 )/ IF(Table1[[#This Row],[config]]=0, 42381, 7618) * 10^9</f>
        <v>2666.5283611541827</v>
      </c>
      <c r="AB41">
        <f>IF(Table1[[#This Row],[config]]=0, 2860, 2210) * (Table1[[#This Row],[cycles]] / 70) / 1000</f>
        <v>2.5331428571428569</v>
      </c>
    </row>
    <row r="42" spans="1:28" x14ac:dyDescent="0.25">
      <c r="A42" t="s">
        <v>20</v>
      </c>
      <c r="B42" t="s">
        <v>21</v>
      </c>
      <c r="C42">
        <v>0</v>
      </c>
      <c r="D42">
        <v>41</v>
      </c>
      <c r="E42">
        <v>9</v>
      </c>
      <c r="F42">
        <v>32</v>
      </c>
      <c r="G42">
        <v>32</v>
      </c>
      <c r="H42">
        <v>9</v>
      </c>
      <c r="I42">
        <v>19</v>
      </c>
      <c r="J42">
        <v>12</v>
      </c>
      <c r="K42">
        <v>0</v>
      </c>
      <c r="L42">
        <v>32</v>
      </c>
      <c r="M42">
        <v>0.74390000000000001</v>
      </c>
      <c r="N42">
        <v>18432</v>
      </c>
      <c r="O42">
        <v>4104</v>
      </c>
      <c r="P42">
        <v>0.77729999999999999</v>
      </c>
      <c r="Q42">
        <v>38</v>
      </c>
      <c r="R42">
        <v>16.7</v>
      </c>
      <c r="S42" t="b">
        <v>1</v>
      </c>
      <c r="T42">
        <v>0.54285714299999999</v>
      </c>
      <c r="U42">
        <v>40</v>
      </c>
      <c r="V42">
        <f>Table1[[#This Row],[orig_m]]+Table1[[#This Row],[orig_n]]+Table1[[#This Row],[orig_k]]-2</f>
        <v>71</v>
      </c>
      <c r="W42">
        <f>Table1[[#This Row],[Dense Baseline]]-Table1[[#This Row],[cycles]]</f>
        <v>33</v>
      </c>
      <c r="X42">
        <f>(Table1[[#This Row],[eff_macs]]/Table1[[#This Row],[cycles]])*0.07</f>
        <v>7.5600000000000005</v>
      </c>
      <c r="Y42">
        <f>(Table1[[#This Row],[orig_macs]]/Table1[[#This Row],[cycles]])*0.07</f>
        <v>33.953684210526319</v>
      </c>
      <c r="Z42">
        <f>(Table1[[#This Row],[Dense-Equivalent Throughput (GOPS)]] / IF(Table1[[#This Row],[config]]=0,144781,7618)) * 1000</f>
        <v>0.23451754173908398</v>
      </c>
      <c r="AA42">
        <f>(Table1[[#This Row],[Dense-Equivalent Throughput (GOPS)]] / 654.74 )/ IF(Table1[[#This Row],[config]]=0, 42381, 7618) * 10^9</f>
        <v>1223.6207446743699</v>
      </c>
      <c r="AB42">
        <f>IF(Table1[[#This Row],[config]]=0, 2860, 2210) * (Table1[[#This Row],[cycles]] / 70) / 1000</f>
        <v>1.5525714285714285</v>
      </c>
    </row>
    <row r="43" spans="1:28" x14ac:dyDescent="0.25">
      <c r="A43" t="s">
        <v>20</v>
      </c>
      <c r="B43" t="s">
        <v>21</v>
      </c>
      <c r="C43">
        <v>0</v>
      </c>
      <c r="D43">
        <v>42</v>
      </c>
      <c r="E43">
        <v>9</v>
      </c>
      <c r="F43">
        <v>32</v>
      </c>
      <c r="G43">
        <v>32</v>
      </c>
      <c r="H43">
        <v>9</v>
      </c>
      <c r="I43">
        <v>17</v>
      </c>
      <c r="J43">
        <v>12</v>
      </c>
      <c r="K43">
        <v>0</v>
      </c>
      <c r="L43">
        <v>32</v>
      </c>
      <c r="M43">
        <v>0.76219999999999999</v>
      </c>
      <c r="N43">
        <v>18432</v>
      </c>
      <c r="O43">
        <v>3672</v>
      </c>
      <c r="P43">
        <v>0.80079999999999996</v>
      </c>
      <c r="Q43">
        <v>36</v>
      </c>
      <c r="R43">
        <v>14.5</v>
      </c>
      <c r="S43" t="b">
        <v>1</v>
      </c>
      <c r="T43">
        <v>0.514285714</v>
      </c>
      <c r="U43">
        <v>41</v>
      </c>
      <c r="V43">
        <f>Table1[[#This Row],[orig_m]]+Table1[[#This Row],[orig_n]]+Table1[[#This Row],[orig_k]]-2</f>
        <v>71</v>
      </c>
      <c r="W43">
        <f>Table1[[#This Row],[Dense Baseline]]-Table1[[#This Row],[cycles]]</f>
        <v>35</v>
      </c>
      <c r="X43">
        <f>(Table1[[#This Row],[eff_macs]]/Table1[[#This Row],[cycles]])*0.07</f>
        <v>7.1400000000000006</v>
      </c>
      <c r="Y43">
        <f>(Table1[[#This Row],[orig_macs]]/Table1[[#This Row],[cycles]])*0.07</f>
        <v>35.840000000000003</v>
      </c>
      <c r="Z43">
        <f>(Table1[[#This Row],[Dense-Equivalent Throughput (GOPS)]] / IF(Table1[[#This Row],[config]]=0,144781,7618)) * 1000</f>
        <v>0.24754629405792197</v>
      </c>
      <c r="AA43">
        <f>(Table1[[#This Row],[Dense-Equivalent Throughput (GOPS)]] / 654.74 )/ IF(Table1[[#This Row],[config]]=0, 42381, 7618) * 10^9</f>
        <v>1291.5996749340572</v>
      </c>
      <c r="AB43">
        <f>IF(Table1[[#This Row],[config]]=0, 2860, 2210) * (Table1[[#This Row],[cycles]] / 70) / 1000</f>
        <v>1.4708571428571426</v>
      </c>
    </row>
    <row r="44" spans="1:28" x14ac:dyDescent="0.25">
      <c r="A44" t="s">
        <v>20</v>
      </c>
      <c r="B44" t="s">
        <v>21</v>
      </c>
      <c r="C44">
        <v>0</v>
      </c>
      <c r="D44">
        <v>43</v>
      </c>
      <c r="E44">
        <v>9</v>
      </c>
      <c r="F44">
        <v>32</v>
      </c>
      <c r="G44">
        <v>32</v>
      </c>
      <c r="H44">
        <v>9</v>
      </c>
      <c r="I44">
        <v>12</v>
      </c>
      <c r="J44">
        <v>12</v>
      </c>
      <c r="K44">
        <v>1</v>
      </c>
      <c r="L44">
        <v>16</v>
      </c>
      <c r="M44">
        <v>0.80789999999999995</v>
      </c>
      <c r="N44">
        <v>18432</v>
      </c>
      <c r="O44">
        <v>2592</v>
      </c>
      <c r="P44">
        <v>0.85940000000000005</v>
      </c>
      <c r="Q44">
        <v>31</v>
      </c>
      <c r="R44">
        <v>15.6</v>
      </c>
      <c r="S44" t="b">
        <v>1</v>
      </c>
      <c r="T44">
        <v>0.44285714300000001</v>
      </c>
      <c r="U44">
        <v>42</v>
      </c>
      <c r="V44">
        <f>Table1[[#This Row],[orig_m]]+Table1[[#This Row],[orig_n]]+Table1[[#This Row],[orig_k]]-2</f>
        <v>71</v>
      </c>
      <c r="W44">
        <f>Table1[[#This Row],[Dense Baseline]]-Table1[[#This Row],[cycles]]</f>
        <v>40</v>
      </c>
      <c r="X44">
        <f>(Table1[[#This Row],[eff_macs]]/Table1[[#This Row],[cycles]])*0.07</f>
        <v>5.8529032258064522</v>
      </c>
      <c r="Y44">
        <f>(Table1[[#This Row],[orig_macs]]/Table1[[#This Row],[cycles]])*0.07</f>
        <v>41.620645161290327</v>
      </c>
      <c r="Z44">
        <f>(Table1[[#This Row],[Dense-Equivalent Throughput (GOPS)]] / IF(Table1[[#This Row],[config]]=0,144781,7618)) * 1000</f>
        <v>5.4634609032935577</v>
      </c>
      <c r="AA44">
        <f>(Table1[[#This Row],[Dense-Equivalent Throughput (GOPS)]] / 654.74 )/ IF(Table1[[#This Row],[config]]=0, 42381, 7618) * 10^9</f>
        <v>8344.4739947056223</v>
      </c>
      <c r="AB44">
        <f>IF(Table1[[#This Row],[config]]=0, 2860, 2210) * (Table1[[#This Row],[cycles]] / 70) / 1000</f>
        <v>0.97871428571428565</v>
      </c>
    </row>
    <row r="45" spans="1:28" x14ac:dyDescent="0.25">
      <c r="A45" t="s">
        <v>20</v>
      </c>
      <c r="B45" t="s">
        <v>21</v>
      </c>
      <c r="C45">
        <v>0</v>
      </c>
      <c r="D45">
        <v>44</v>
      </c>
      <c r="E45">
        <v>9</v>
      </c>
      <c r="F45">
        <v>32</v>
      </c>
      <c r="G45">
        <v>32</v>
      </c>
      <c r="H45">
        <v>9</v>
      </c>
      <c r="I45">
        <v>17</v>
      </c>
      <c r="J45">
        <v>12</v>
      </c>
      <c r="K45">
        <v>0</v>
      </c>
      <c r="L45">
        <v>32</v>
      </c>
      <c r="M45">
        <v>0.76219999999999999</v>
      </c>
      <c r="N45">
        <v>18432</v>
      </c>
      <c r="O45">
        <v>3672</v>
      </c>
      <c r="P45">
        <v>0.80079999999999996</v>
      </c>
      <c r="Q45">
        <v>36</v>
      </c>
      <c r="R45">
        <v>15.7</v>
      </c>
      <c r="S45" t="b">
        <v>1</v>
      </c>
      <c r="T45">
        <v>0.514285714</v>
      </c>
      <c r="U45">
        <v>43</v>
      </c>
      <c r="V45">
        <f>Table1[[#This Row],[orig_m]]+Table1[[#This Row],[orig_n]]+Table1[[#This Row],[orig_k]]-2</f>
        <v>71</v>
      </c>
      <c r="W45">
        <f>Table1[[#This Row],[Dense Baseline]]-Table1[[#This Row],[cycles]]</f>
        <v>35</v>
      </c>
      <c r="X45">
        <f>(Table1[[#This Row],[eff_macs]]/Table1[[#This Row],[cycles]])*0.07</f>
        <v>7.1400000000000006</v>
      </c>
      <c r="Y45">
        <f>(Table1[[#This Row],[orig_macs]]/Table1[[#This Row],[cycles]])*0.07</f>
        <v>35.840000000000003</v>
      </c>
      <c r="Z45">
        <f>(Table1[[#This Row],[Dense-Equivalent Throughput (GOPS)]] / IF(Table1[[#This Row],[config]]=0,144781,7618)) * 1000</f>
        <v>0.24754629405792197</v>
      </c>
      <c r="AA45">
        <f>(Table1[[#This Row],[Dense-Equivalent Throughput (GOPS)]] / 654.74 )/ IF(Table1[[#This Row],[config]]=0, 42381, 7618) * 10^9</f>
        <v>1291.5996749340572</v>
      </c>
      <c r="AB45">
        <f>IF(Table1[[#This Row],[config]]=0, 2860, 2210) * (Table1[[#This Row],[cycles]] / 70) / 1000</f>
        <v>1.4708571428571426</v>
      </c>
    </row>
    <row r="46" spans="1:28" x14ac:dyDescent="0.25">
      <c r="A46" t="s">
        <v>20</v>
      </c>
      <c r="B46" t="s">
        <v>21</v>
      </c>
      <c r="C46">
        <v>0</v>
      </c>
      <c r="D46">
        <v>45</v>
      </c>
      <c r="E46">
        <v>9</v>
      </c>
      <c r="F46">
        <v>32</v>
      </c>
      <c r="G46">
        <v>32</v>
      </c>
      <c r="H46">
        <v>9</v>
      </c>
      <c r="I46">
        <v>21</v>
      </c>
      <c r="J46">
        <v>12</v>
      </c>
      <c r="K46">
        <v>0</v>
      </c>
      <c r="L46">
        <v>32</v>
      </c>
      <c r="M46">
        <v>0.72560000000000002</v>
      </c>
      <c r="N46">
        <v>18432</v>
      </c>
      <c r="O46">
        <v>4536</v>
      </c>
      <c r="P46">
        <v>0.75390000000000001</v>
      </c>
      <c r="Q46">
        <v>40</v>
      </c>
      <c r="R46">
        <v>70.3</v>
      </c>
      <c r="S46" t="b">
        <v>1</v>
      </c>
      <c r="T46">
        <v>0.571428571</v>
      </c>
      <c r="U46">
        <v>44</v>
      </c>
      <c r="V46">
        <f>Table1[[#This Row],[orig_m]]+Table1[[#This Row],[orig_n]]+Table1[[#This Row],[orig_k]]-2</f>
        <v>71</v>
      </c>
      <c r="W46">
        <f>Table1[[#This Row],[Dense Baseline]]-Table1[[#This Row],[cycles]]</f>
        <v>31</v>
      </c>
      <c r="X46">
        <f>(Table1[[#This Row],[eff_macs]]/Table1[[#This Row],[cycles]])*0.07</f>
        <v>7.9380000000000015</v>
      </c>
      <c r="Y46">
        <f>(Table1[[#This Row],[orig_macs]]/Table1[[#This Row],[cycles]])*0.07</f>
        <v>32.256000000000007</v>
      </c>
      <c r="Z46">
        <f>(Table1[[#This Row],[Dense-Equivalent Throughput (GOPS)]] / IF(Table1[[#This Row],[config]]=0,144781,7618)) * 1000</f>
        <v>0.22279166465212982</v>
      </c>
      <c r="AA46">
        <f>(Table1[[#This Row],[Dense-Equivalent Throughput (GOPS)]] / 654.74 )/ IF(Table1[[#This Row],[config]]=0, 42381, 7618) * 10^9</f>
        <v>1162.4397074406518</v>
      </c>
      <c r="AB46">
        <f>IF(Table1[[#This Row],[config]]=0, 2860, 2210) * (Table1[[#This Row],[cycles]] / 70) / 1000</f>
        <v>1.6342857142857141</v>
      </c>
    </row>
    <row r="47" spans="1:28" x14ac:dyDescent="0.25">
      <c r="A47" t="s">
        <v>20</v>
      </c>
      <c r="B47" t="s">
        <v>21</v>
      </c>
      <c r="C47">
        <v>0</v>
      </c>
      <c r="D47">
        <v>46</v>
      </c>
      <c r="E47">
        <v>9</v>
      </c>
      <c r="F47">
        <v>32</v>
      </c>
      <c r="G47">
        <v>32</v>
      </c>
      <c r="H47">
        <v>9</v>
      </c>
      <c r="I47">
        <v>20</v>
      </c>
      <c r="J47">
        <v>12</v>
      </c>
      <c r="K47">
        <v>0</v>
      </c>
      <c r="L47">
        <v>32</v>
      </c>
      <c r="M47">
        <v>0.73480000000000001</v>
      </c>
      <c r="N47">
        <v>18432</v>
      </c>
      <c r="O47">
        <v>4320</v>
      </c>
      <c r="P47">
        <v>0.76559999999999995</v>
      </c>
      <c r="Q47">
        <v>39</v>
      </c>
      <c r="R47">
        <v>14.8</v>
      </c>
      <c r="S47" t="b">
        <v>1</v>
      </c>
      <c r="T47">
        <v>0.55714285699999999</v>
      </c>
      <c r="U47">
        <v>45</v>
      </c>
      <c r="V47">
        <f>Table1[[#This Row],[orig_m]]+Table1[[#This Row],[orig_n]]+Table1[[#This Row],[orig_k]]-2</f>
        <v>71</v>
      </c>
      <c r="W47">
        <f>Table1[[#This Row],[Dense Baseline]]-Table1[[#This Row],[cycles]]</f>
        <v>32</v>
      </c>
      <c r="X47">
        <f>(Table1[[#This Row],[eff_macs]]/Table1[[#This Row],[cycles]])*0.07</f>
        <v>7.7538461538461547</v>
      </c>
      <c r="Y47">
        <f>(Table1[[#This Row],[orig_macs]]/Table1[[#This Row],[cycles]])*0.07</f>
        <v>33.083076923076931</v>
      </c>
      <c r="Z47">
        <f>(Table1[[#This Row],[Dense-Equivalent Throughput (GOPS)]] / IF(Table1[[#This Row],[config]]=0,144781,7618)) * 1000</f>
        <v>0.22850427143808186</v>
      </c>
      <c r="AA47">
        <f>(Table1[[#This Row],[Dense-Equivalent Throughput (GOPS)]] / 654.74 )/ IF(Table1[[#This Row],[config]]=0, 42381, 7618) * 10^9</f>
        <v>1192.2458537852838</v>
      </c>
      <c r="AB47">
        <f>IF(Table1[[#This Row],[config]]=0, 2860, 2210) * (Table1[[#This Row],[cycles]] / 70) / 1000</f>
        <v>1.5934285714285716</v>
      </c>
    </row>
    <row r="48" spans="1:28" x14ac:dyDescent="0.25">
      <c r="A48" t="s">
        <v>20</v>
      </c>
      <c r="B48" t="s">
        <v>21</v>
      </c>
      <c r="C48">
        <v>0</v>
      </c>
      <c r="D48">
        <v>47</v>
      </c>
      <c r="E48">
        <v>9</v>
      </c>
      <c r="F48">
        <v>32</v>
      </c>
      <c r="G48">
        <v>32</v>
      </c>
      <c r="H48">
        <v>9</v>
      </c>
      <c r="I48">
        <v>21</v>
      </c>
      <c r="J48">
        <v>12</v>
      </c>
      <c r="K48">
        <v>0</v>
      </c>
      <c r="L48">
        <v>32</v>
      </c>
      <c r="M48">
        <v>0.72560000000000002</v>
      </c>
      <c r="N48">
        <v>18432</v>
      </c>
      <c r="O48">
        <v>4536</v>
      </c>
      <c r="P48">
        <v>0.75390000000000001</v>
      </c>
      <c r="Q48">
        <v>40</v>
      </c>
      <c r="R48">
        <v>64.400000000000006</v>
      </c>
      <c r="S48" t="b">
        <v>1</v>
      </c>
      <c r="T48">
        <v>0.571428571</v>
      </c>
      <c r="U48">
        <v>46</v>
      </c>
      <c r="V48">
        <f>Table1[[#This Row],[orig_m]]+Table1[[#This Row],[orig_n]]+Table1[[#This Row],[orig_k]]-2</f>
        <v>71</v>
      </c>
      <c r="W48">
        <f>Table1[[#This Row],[Dense Baseline]]-Table1[[#This Row],[cycles]]</f>
        <v>31</v>
      </c>
      <c r="X48">
        <f>(Table1[[#This Row],[eff_macs]]/Table1[[#This Row],[cycles]])*0.07</f>
        <v>7.9380000000000015</v>
      </c>
      <c r="Y48">
        <f>(Table1[[#This Row],[orig_macs]]/Table1[[#This Row],[cycles]])*0.07</f>
        <v>32.256000000000007</v>
      </c>
      <c r="Z48">
        <f>(Table1[[#This Row],[Dense-Equivalent Throughput (GOPS)]] / IF(Table1[[#This Row],[config]]=0,144781,7618)) * 1000</f>
        <v>0.22279166465212982</v>
      </c>
      <c r="AA48">
        <f>(Table1[[#This Row],[Dense-Equivalent Throughput (GOPS)]] / 654.74 )/ IF(Table1[[#This Row],[config]]=0, 42381, 7618) * 10^9</f>
        <v>1162.4397074406518</v>
      </c>
      <c r="AB48">
        <f>IF(Table1[[#This Row],[config]]=0, 2860, 2210) * (Table1[[#This Row],[cycles]] / 70) / 1000</f>
        <v>1.6342857142857141</v>
      </c>
    </row>
    <row r="49" spans="1:28" x14ac:dyDescent="0.25">
      <c r="A49" t="s">
        <v>20</v>
      </c>
      <c r="B49" t="s">
        <v>21</v>
      </c>
      <c r="C49">
        <v>0</v>
      </c>
      <c r="D49">
        <v>48</v>
      </c>
      <c r="E49">
        <v>9</v>
      </c>
      <c r="F49">
        <v>32</v>
      </c>
      <c r="G49">
        <v>32</v>
      </c>
      <c r="H49">
        <v>9</v>
      </c>
      <c r="I49">
        <v>14</v>
      </c>
      <c r="J49">
        <v>12</v>
      </c>
      <c r="K49">
        <v>1</v>
      </c>
      <c r="L49">
        <v>16</v>
      </c>
      <c r="M49">
        <v>0.78959999999999997</v>
      </c>
      <c r="N49">
        <v>18432</v>
      </c>
      <c r="O49">
        <v>3024</v>
      </c>
      <c r="P49">
        <v>0.83589999999999998</v>
      </c>
      <c r="Q49">
        <v>33</v>
      </c>
      <c r="R49">
        <v>28</v>
      </c>
      <c r="S49" t="b">
        <v>1</v>
      </c>
      <c r="T49">
        <v>0.47142857100000002</v>
      </c>
      <c r="U49">
        <v>47</v>
      </c>
      <c r="V49">
        <f>Table1[[#This Row],[orig_m]]+Table1[[#This Row],[orig_n]]+Table1[[#This Row],[orig_k]]-2</f>
        <v>71</v>
      </c>
      <c r="W49">
        <f>Table1[[#This Row],[Dense Baseline]]-Table1[[#This Row],[cycles]]</f>
        <v>38</v>
      </c>
      <c r="X49">
        <f>(Table1[[#This Row],[eff_macs]]/Table1[[#This Row],[cycles]])*0.07</f>
        <v>6.414545454545455</v>
      </c>
      <c r="Y49">
        <f>(Table1[[#This Row],[orig_macs]]/Table1[[#This Row],[cycles]])*0.07</f>
        <v>39.098181818181821</v>
      </c>
      <c r="Z49">
        <f>(Table1[[#This Row],[Dense-Equivalent Throughput (GOPS)]] / IF(Table1[[#This Row],[config]]=0,144781,7618)) * 1000</f>
        <v>5.1323420606697061</v>
      </c>
      <c r="AA49">
        <f>(Table1[[#This Row],[Dense-Equivalent Throughput (GOPS)]] / 654.74 )/ IF(Table1[[#This Row],[config]]=0, 42381, 7618) * 10^9</f>
        <v>7838.7482980567956</v>
      </c>
      <c r="AB49">
        <f>IF(Table1[[#This Row],[config]]=0, 2860, 2210) * (Table1[[#This Row],[cycles]] / 70) / 1000</f>
        <v>1.0418571428571428</v>
      </c>
    </row>
    <row r="50" spans="1:28" x14ac:dyDescent="0.25">
      <c r="A50" t="s">
        <v>20</v>
      </c>
      <c r="B50" t="s">
        <v>22</v>
      </c>
      <c r="C50">
        <v>1</v>
      </c>
      <c r="D50">
        <v>1</v>
      </c>
      <c r="E50">
        <v>32</v>
      </c>
      <c r="F50">
        <v>32</v>
      </c>
      <c r="G50">
        <v>32</v>
      </c>
      <c r="H50">
        <v>31</v>
      </c>
      <c r="I50">
        <v>23</v>
      </c>
      <c r="J50">
        <v>18</v>
      </c>
      <c r="K50">
        <v>0</v>
      </c>
      <c r="L50">
        <v>32</v>
      </c>
      <c r="M50">
        <v>0.52539999999999998</v>
      </c>
      <c r="N50">
        <v>65536</v>
      </c>
      <c r="O50">
        <v>25668</v>
      </c>
      <c r="P50">
        <v>0.60829999999999995</v>
      </c>
      <c r="Q50">
        <v>70</v>
      </c>
      <c r="R50">
        <v>41.6</v>
      </c>
      <c r="S50" t="b">
        <v>1</v>
      </c>
      <c r="T50">
        <v>1</v>
      </c>
      <c r="U50">
        <v>48</v>
      </c>
      <c r="V50">
        <f>Table1[[#This Row],[orig_m]]+Table1[[#This Row],[orig_n]]+Table1[[#This Row],[orig_k]]-2</f>
        <v>94</v>
      </c>
      <c r="W50">
        <f>Table1[[#This Row],[Dense Baseline]]-Table1[[#This Row],[cycles]]</f>
        <v>24</v>
      </c>
      <c r="X50">
        <f>(Table1[[#This Row],[eff_macs]]/Table1[[#This Row],[cycles]])*0.07</f>
        <v>25.668000000000003</v>
      </c>
      <c r="Y50">
        <f>(Table1[[#This Row],[orig_macs]]/Table1[[#This Row],[cycles]])*0.07</f>
        <v>65.536000000000001</v>
      </c>
      <c r="Z50">
        <f>(Table1[[#This Row],[Dense-Equivalent Throughput (GOPS)]] / IF(Table1[[#This Row],[config]]=0,144781,7618)) * 1000</f>
        <v>0.45265608056305734</v>
      </c>
      <c r="AA50">
        <f>(Table1[[#This Row],[Dense-Equivalent Throughput (GOPS)]] / 654.74 )/ IF(Table1[[#This Row],[config]]=0, 42381, 7618) * 10^9</f>
        <v>2361.7822627365617</v>
      </c>
      <c r="AB50">
        <f>IF(Table1[[#This Row],[config]]=0, 2860, 2210) * (Table1[[#This Row],[cycles]] / 70) / 1000</f>
        <v>2.86</v>
      </c>
    </row>
    <row r="51" spans="1:28" x14ac:dyDescent="0.25">
      <c r="A51" t="s">
        <v>20</v>
      </c>
      <c r="B51" t="s">
        <v>22</v>
      </c>
      <c r="C51">
        <v>1</v>
      </c>
      <c r="D51">
        <v>2</v>
      </c>
      <c r="E51">
        <v>32</v>
      </c>
      <c r="F51">
        <v>32</v>
      </c>
      <c r="G51">
        <v>32</v>
      </c>
      <c r="H51">
        <v>31</v>
      </c>
      <c r="I51">
        <v>19</v>
      </c>
      <c r="J51">
        <v>18</v>
      </c>
      <c r="K51">
        <v>0</v>
      </c>
      <c r="L51">
        <v>32</v>
      </c>
      <c r="M51">
        <v>0.5605</v>
      </c>
      <c r="N51">
        <v>65536</v>
      </c>
      <c r="O51">
        <v>21204</v>
      </c>
      <c r="P51">
        <v>0.67649999999999999</v>
      </c>
      <c r="Q51">
        <v>66</v>
      </c>
      <c r="R51">
        <v>41</v>
      </c>
      <c r="S51" t="b">
        <v>1</v>
      </c>
      <c r="T51">
        <v>0.94285714300000001</v>
      </c>
      <c r="U51">
        <v>49</v>
      </c>
      <c r="V51">
        <f>Table1[[#This Row],[orig_m]]+Table1[[#This Row],[orig_n]]+Table1[[#This Row],[orig_k]]-2</f>
        <v>94</v>
      </c>
      <c r="W51">
        <f>Table1[[#This Row],[Dense Baseline]]-Table1[[#This Row],[cycles]]</f>
        <v>28</v>
      </c>
      <c r="X51">
        <f>(Table1[[#This Row],[eff_macs]]/Table1[[#This Row],[cycles]])*0.07</f>
        <v>22.489090909090908</v>
      </c>
      <c r="Y51">
        <f>(Table1[[#This Row],[orig_macs]]/Table1[[#This Row],[cycles]])*0.07</f>
        <v>69.507878787878795</v>
      </c>
      <c r="Z51">
        <f>(Table1[[#This Row],[Dense-Equivalent Throughput (GOPS)]] / IF(Table1[[#This Row],[config]]=0,144781,7618)) * 1000</f>
        <v>0.48008978241536382</v>
      </c>
      <c r="AA51">
        <f>(Table1[[#This Row],[Dense-Equivalent Throughput (GOPS)]] / 654.74 )/ IF(Table1[[#This Row],[config]]=0, 42381, 7618) * 10^9</f>
        <v>2504.9205816902927</v>
      </c>
      <c r="AB51">
        <f>IF(Table1[[#This Row],[config]]=0, 2860, 2210) * (Table1[[#This Row],[cycles]] / 70) / 1000</f>
        <v>2.6965714285714286</v>
      </c>
    </row>
    <row r="52" spans="1:28" x14ac:dyDescent="0.25">
      <c r="A52" t="s">
        <v>20</v>
      </c>
      <c r="B52" t="s">
        <v>22</v>
      </c>
      <c r="C52">
        <v>1</v>
      </c>
      <c r="D52">
        <v>3</v>
      </c>
      <c r="E52">
        <v>32</v>
      </c>
      <c r="F52">
        <v>32</v>
      </c>
      <c r="G52">
        <v>32</v>
      </c>
      <c r="H52">
        <v>31</v>
      </c>
      <c r="I52">
        <v>17</v>
      </c>
      <c r="J52">
        <v>18</v>
      </c>
      <c r="K52">
        <v>0</v>
      </c>
      <c r="L52">
        <v>32</v>
      </c>
      <c r="M52">
        <v>0.57809999999999995</v>
      </c>
      <c r="N52">
        <v>65536</v>
      </c>
      <c r="O52">
        <v>18972</v>
      </c>
      <c r="P52">
        <v>0.71050000000000002</v>
      </c>
      <c r="Q52">
        <v>64</v>
      </c>
      <c r="R52">
        <v>43.6</v>
      </c>
      <c r="S52" t="b">
        <v>1</v>
      </c>
      <c r="T52">
        <v>0.91428571400000003</v>
      </c>
      <c r="U52">
        <v>50</v>
      </c>
      <c r="V52">
        <f>Table1[[#This Row],[orig_m]]+Table1[[#This Row],[orig_n]]+Table1[[#This Row],[orig_k]]-2</f>
        <v>94</v>
      </c>
      <c r="W52">
        <f>Table1[[#This Row],[Dense Baseline]]-Table1[[#This Row],[cycles]]</f>
        <v>30</v>
      </c>
      <c r="X52">
        <f>(Table1[[#This Row],[eff_macs]]/Table1[[#This Row],[cycles]])*0.07</f>
        <v>20.750625000000003</v>
      </c>
      <c r="Y52">
        <f>(Table1[[#This Row],[orig_macs]]/Table1[[#This Row],[cycles]])*0.07</f>
        <v>71.680000000000007</v>
      </c>
      <c r="Z52">
        <f>(Table1[[#This Row],[Dense-Equivalent Throughput (GOPS)]] / IF(Table1[[#This Row],[config]]=0,144781,7618)) * 1000</f>
        <v>0.49509258811584395</v>
      </c>
      <c r="AA52">
        <f>(Table1[[#This Row],[Dense-Equivalent Throughput (GOPS)]] / 654.74 )/ IF(Table1[[#This Row],[config]]=0, 42381, 7618) * 10^9</f>
        <v>2583.1993498681145</v>
      </c>
      <c r="AB52">
        <f>IF(Table1[[#This Row],[config]]=0, 2860, 2210) * (Table1[[#This Row],[cycles]] / 70) / 1000</f>
        <v>2.6148571428571428</v>
      </c>
    </row>
    <row r="53" spans="1:28" x14ac:dyDescent="0.25">
      <c r="A53" t="s">
        <v>20</v>
      </c>
      <c r="B53" t="s">
        <v>22</v>
      </c>
      <c r="C53">
        <v>1</v>
      </c>
      <c r="D53">
        <v>4</v>
      </c>
      <c r="E53">
        <v>32</v>
      </c>
      <c r="F53">
        <v>32</v>
      </c>
      <c r="G53">
        <v>32</v>
      </c>
      <c r="H53">
        <v>31</v>
      </c>
      <c r="I53">
        <v>13</v>
      </c>
      <c r="J53">
        <v>18</v>
      </c>
      <c r="K53">
        <v>0</v>
      </c>
      <c r="L53">
        <v>32</v>
      </c>
      <c r="M53">
        <v>0.61329999999999996</v>
      </c>
      <c r="N53">
        <v>65536</v>
      </c>
      <c r="O53">
        <v>14508</v>
      </c>
      <c r="P53">
        <v>0.77859999999999996</v>
      </c>
      <c r="Q53">
        <v>60</v>
      </c>
      <c r="R53">
        <v>85.4</v>
      </c>
      <c r="S53" t="b">
        <v>1</v>
      </c>
      <c r="T53">
        <v>0.85714285700000004</v>
      </c>
      <c r="U53">
        <v>51</v>
      </c>
      <c r="V53">
        <f>Table1[[#This Row],[orig_m]]+Table1[[#This Row],[orig_n]]+Table1[[#This Row],[orig_k]]-2</f>
        <v>94</v>
      </c>
      <c r="W53">
        <f>Table1[[#This Row],[Dense Baseline]]-Table1[[#This Row],[cycles]]</f>
        <v>34</v>
      </c>
      <c r="X53">
        <f>(Table1[[#This Row],[eff_macs]]/Table1[[#This Row],[cycles]])*0.07</f>
        <v>16.926000000000002</v>
      </c>
      <c r="Y53">
        <f>(Table1[[#This Row],[orig_macs]]/Table1[[#This Row],[cycles]])*0.07</f>
        <v>76.458666666666673</v>
      </c>
      <c r="Z53">
        <f>(Table1[[#This Row],[Dense-Equivalent Throughput (GOPS)]] / IF(Table1[[#This Row],[config]]=0,144781,7618)) * 1000</f>
        <v>0.52809876065690031</v>
      </c>
      <c r="AA53">
        <f>(Table1[[#This Row],[Dense-Equivalent Throughput (GOPS)]] / 654.74 )/ IF(Table1[[#This Row],[config]]=0, 42381, 7618) * 10^9</f>
        <v>2755.4126398593216</v>
      </c>
      <c r="AB53">
        <f>IF(Table1[[#This Row],[config]]=0, 2860, 2210) * (Table1[[#This Row],[cycles]] / 70) / 1000</f>
        <v>2.4514285714285711</v>
      </c>
    </row>
    <row r="54" spans="1:28" x14ac:dyDescent="0.25">
      <c r="A54" t="s">
        <v>20</v>
      </c>
      <c r="B54" t="s">
        <v>22</v>
      </c>
      <c r="C54">
        <v>1</v>
      </c>
      <c r="D54">
        <v>5</v>
      </c>
      <c r="E54">
        <v>32</v>
      </c>
      <c r="F54">
        <v>32</v>
      </c>
      <c r="G54">
        <v>32</v>
      </c>
      <c r="H54">
        <v>31</v>
      </c>
      <c r="I54">
        <v>21</v>
      </c>
      <c r="J54">
        <v>18</v>
      </c>
      <c r="K54">
        <v>0</v>
      </c>
      <c r="L54">
        <v>32</v>
      </c>
      <c r="M54">
        <v>0.54300000000000004</v>
      </c>
      <c r="N54">
        <v>65536</v>
      </c>
      <c r="O54">
        <v>23436</v>
      </c>
      <c r="P54">
        <v>0.64239999999999997</v>
      </c>
      <c r="Q54">
        <v>68</v>
      </c>
      <c r="R54">
        <v>90.9</v>
      </c>
      <c r="S54" t="b">
        <v>1</v>
      </c>
      <c r="T54">
        <v>0.97142857100000002</v>
      </c>
      <c r="U54">
        <v>52</v>
      </c>
      <c r="V54">
        <f>Table1[[#This Row],[orig_m]]+Table1[[#This Row],[orig_n]]+Table1[[#This Row],[orig_k]]-2</f>
        <v>94</v>
      </c>
      <c r="W54">
        <f>Table1[[#This Row],[Dense Baseline]]-Table1[[#This Row],[cycles]]</f>
        <v>26</v>
      </c>
      <c r="X54">
        <f>(Table1[[#This Row],[eff_macs]]/Table1[[#This Row],[cycles]])*0.07</f>
        <v>24.125294117647059</v>
      </c>
      <c r="Y54">
        <f>(Table1[[#This Row],[orig_macs]]/Table1[[#This Row],[cycles]])*0.07</f>
        <v>67.463529411764711</v>
      </c>
      <c r="Z54">
        <f>(Table1[[#This Row],[Dense-Equivalent Throughput (GOPS)]] / IF(Table1[[#This Row],[config]]=0,144781,7618)) * 1000</f>
        <v>0.4659694946972649</v>
      </c>
      <c r="AA54">
        <f>(Table1[[#This Row],[Dense-Equivalent Throughput (GOPS)]] / 654.74 )/ IF(Table1[[#This Row],[config]]=0, 42381, 7618) * 10^9</f>
        <v>2431.246446934696</v>
      </c>
      <c r="AB54">
        <f>IF(Table1[[#This Row],[config]]=0, 2860, 2210) * (Table1[[#This Row],[cycles]] / 70) / 1000</f>
        <v>2.778285714285714</v>
      </c>
    </row>
    <row r="55" spans="1:28" x14ac:dyDescent="0.25">
      <c r="A55" t="s">
        <v>20</v>
      </c>
      <c r="B55" t="s">
        <v>22</v>
      </c>
      <c r="C55">
        <v>1</v>
      </c>
      <c r="D55">
        <v>6</v>
      </c>
      <c r="E55">
        <v>32</v>
      </c>
      <c r="F55">
        <v>32</v>
      </c>
      <c r="G55">
        <v>32</v>
      </c>
      <c r="H55">
        <v>31</v>
      </c>
      <c r="I55">
        <v>17</v>
      </c>
      <c r="J55">
        <v>18</v>
      </c>
      <c r="K55">
        <v>0</v>
      </c>
      <c r="L55">
        <v>32</v>
      </c>
      <c r="M55">
        <v>0.57809999999999995</v>
      </c>
      <c r="N55">
        <v>65536</v>
      </c>
      <c r="O55">
        <v>18972</v>
      </c>
      <c r="P55">
        <v>0.71050000000000002</v>
      </c>
      <c r="Q55">
        <v>64</v>
      </c>
      <c r="R55">
        <v>42.2</v>
      </c>
      <c r="S55" t="b">
        <v>1</v>
      </c>
      <c r="T55">
        <v>0.91428571400000003</v>
      </c>
      <c r="U55">
        <v>53</v>
      </c>
      <c r="V55">
        <f>Table1[[#This Row],[orig_m]]+Table1[[#This Row],[orig_n]]+Table1[[#This Row],[orig_k]]-2</f>
        <v>94</v>
      </c>
      <c r="W55">
        <f>Table1[[#This Row],[Dense Baseline]]-Table1[[#This Row],[cycles]]</f>
        <v>30</v>
      </c>
      <c r="X55">
        <f>(Table1[[#This Row],[eff_macs]]/Table1[[#This Row],[cycles]])*0.07</f>
        <v>20.750625000000003</v>
      </c>
      <c r="Y55">
        <f>(Table1[[#This Row],[orig_macs]]/Table1[[#This Row],[cycles]])*0.07</f>
        <v>71.680000000000007</v>
      </c>
      <c r="Z55">
        <f>(Table1[[#This Row],[Dense-Equivalent Throughput (GOPS)]] / IF(Table1[[#This Row],[config]]=0,144781,7618)) * 1000</f>
        <v>0.49509258811584395</v>
      </c>
      <c r="AA55">
        <f>(Table1[[#This Row],[Dense-Equivalent Throughput (GOPS)]] / 654.74 )/ IF(Table1[[#This Row],[config]]=0, 42381, 7618) * 10^9</f>
        <v>2583.1993498681145</v>
      </c>
      <c r="AB55">
        <f>IF(Table1[[#This Row],[config]]=0, 2860, 2210) * (Table1[[#This Row],[cycles]] / 70) / 1000</f>
        <v>2.6148571428571428</v>
      </c>
    </row>
    <row r="56" spans="1:28" x14ac:dyDescent="0.25">
      <c r="A56" t="s">
        <v>20</v>
      </c>
      <c r="B56" t="s">
        <v>22</v>
      </c>
      <c r="C56">
        <v>1</v>
      </c>
      <c r="D56">
        <v>7</v>
      </c>
      <c r="E56">
        <v>32</v>
      </c>
      <c r="F56">
        <v>32</v>
      </c>
      <c r="G56">
        <v>32</v>
      </c>
      <c r="H56">
        <v>31</v>
      </c>
      <c r="I56">
        <v>18</v>
      </c>
      <c r="J56">
        <v>18</v>
      </c>
      <c r="K56">
        <v>0</v>
      </c>
      <c r="L56">
        <v>32</v>
      </c>
      <c r="M56">
        <v>0.56930000000000003</v>
      </c>
      <c r="N56">
        <v>65536</v>
      </c>
      <c r="O56">
        <v>20088</v>
      </c>
      <c r="P56">
        <v>0.69350000000000001</v>
      </c>
      <c r="Q56">
        <v>65</v>
      </c>
      <c r="R56">
        <v>112.2</v>
      </c>
      <c r="S56" t="b">
        <v>1</v>
      </c>
      <c r="T56">
        <v>0.928571429</v>
      </c>
      <c r="U56">
        <v>54</v>
      </c>
      <c r="V56">
        <f>Table1[[#This Row],[orig_m]]+Table1[[#This Row],[orig_n]]+Table1[[#This Row],[orig_k]]-2</f>
        <v>94</v>
      </c>
      <c r="W56">
        <f>Table1[[#This Row],[Dense Baseline]]-Table1[[#This Row],[cycles]]</f>
        <v>29</v>
      </c>
      <c r="X56">
        <f>(Table1[[#This Row],[eff_macs]]/Table1[[#This Row],[cycles]])*0.07</f>
        <v>21.633230769230771</v>
      </c>
      <c r="Y56">
        <f>(Table1[[#This Row],[orig_macs]]/Table1[[#This Row],[cycles]])*0.07</f>
        <v>70.577230769230781</v>
      </c>
      <c r="Z56">
        <f>(Table1[[#This Row],[Dense-Equivalent Throughput (GOPS)]] / IF(Table1[[#This Row],[config]]=0,144781,7618)) * 1000</f>
        <v>0.48747577906790795</v>
      </c>
      <c r="AA56">
        <f>(Table1[[#This Row],[Dense-Equivalent Throughput (GOPS)]] / 654.74 )/ IF(Table1[[#This Row],[config]]=0, 42381, 7618) * 10^9</f>
        <v>2543.457821408605</v>
      </c>
      <c r="AB56">
        <f>IF(Table1[[#This Row],[config]]=0, 2860, 2210) * (Table1[[#This Row],[cycles]] / 70) / 1000</f>
        <v>2.6557142857142857</v>
      </c>
    </row>
    <row r="57" spans="1:28" x14ac:dyDescent="0.25">
      <c r="A57" t="s">
        <v>20</v>
      </c>
      <c r="B57" t="s">
        <v>22</v>
      </c>
      <c r="C57">
        <v>1</v>
      </c>
      <c r="D57">
        <v>8</v>
      </c>
      <c r="E57">
        <v>32</v>
      </c>
      <c r="F57">
        <v>32</v>
      </c>
      <c r="G57">
        <v>32</v>
      </c>
      <c r="H57">
        <v>31</v>
      </c>
      <c r="I57">
        <v>13</v>
      </c>
      <c r="J57">
        <v>18</v>
      </c>
      <c r="K57">
        <v>0</v>
      </c>
      <c r="L57">
        <v>32</v>
      </c>
      <c r="M57">
        <v>0.61329999999999996</v>
      </c>
      <c r="N57">
        <v>65536</v>
      </c>
      <c r="O57">
        <v>14508</v>
      </c>
      <c r="P57">
        <v>0.77859999999999996</v>
      </c>
      <c r="Q57">
        <v>60</v>
      </c>
      <c r="R57">
        <v>127</v>
      </c>
      <c r="S57" t="b">
        <v>1</v>
      </c>
      <c r="T57">
        <v>0.85714285700000004</v>
      </c>
      <c r="U57">
        <v>55</v>
      </c>
      <c r="V57">
        <f>Table1[[#This Row],[orig_m]]+Table1[[#This Row],[orig_n]]+Table1[[#This Row],[orig_k]]-2</f>
        <v>94</v>
      </c>
      <c r="W57">
        <f>Table1[[#This Row],[Dense Baseline]]-Table1[[#This Row],[cycles]]</f>
        <v>34</v>
      </c>
      <c r="X57">
        <f>(Table1[[#This Row],[eff_macs]]/Table1[[#This Row],[cycles]])*0.07</f>
        <v>16.926000000000002</v>
      </c>
      <c r="Y57">
        <f>(Table1[[#This Row],[orig_macs]]/Table1[[#This Row],[cycles]])*0.07</f>
        <v>76.458666666666673</v>
      </c>
      <c r="Z57">
        <f>(Table1[[#This Row],[Dense-Equivalent Throughput (GOPS)]] / IF(Table1[[#This Row],[config]]=0,144781,7618)) * 1000</f>
        <v>0.52809876065690031</v>
      </c>
      <c r="AA57">
        <f>(Table1[[#This Row],[Dense-Equivalent Throughput (GOPS)]] / 654.74 )/ IF(Table1[[#This Row],[config]]=0, 42381, 7618) * 10^9</f>
        <v>2755.4126398593216</v>
      </c>
      <c r="AB57">
        <f>IF(Table1[[#This Row],[config]]=0, 2860, 2210) * (Table1[[#This Row],[cycles]] / 70) / 1000</f>
        <v>2.4514285714285711</v>
      </c>
    </row>
    <row r="58" spans="1:28" x14ac:dyDescent="0.25">
      <c r="A58" t="s">
        <v>20</v>
      </c>
      <c r="B58" t="s">
        <v>22</v>
      </c>
      <c r="C58">
        <v>1</v>
      </c>
      <c r="D58">
        <v>9</v>
      </c>
      <c r="E58">
        <v>32</v>
      </c>
      <c r="F58">
        <v>32</v>
      </c>
      <c r="G58">
        <v>32</v>
      </c>
      <c r="H58">
        <v>24</v>
      </c>
      <c r="I58">
        <v>23</v>
      </c>
      <c r="J58">
        <v>18</v>
      </c>
      <c r="K58">
        <v>0</v>
      </c>
      <c r="L58">
        <v>32</v>
      </c>
      <c r="M58">
        <v>0.58689999999999998</v>
      </c>
      <c r="N58">
        <v>65536</v>
      </c>
      <c r="O58">
        <v>19872</v>
      </c>
      <c r="P58">
        <v>0.69679999999999997</v>
      </c>
      <c r="Q58">
        <v>63</v>
      </c>
      <c r="R58">
        <v>76.599999999999994</v>
      </c>
      <c r="S58" t="b">
        <v>1</v>
      </c>
      <c r="T58">
        <v>0.9</v>
      </c>
      <c r="U58">
        <v>56</v>
      </c>
      <c r="V58">
        <f>Table1[[#This Row],[orig_m]]+Table1[[#This Row],[orig_n]]+Table1[[#This Row],[orig_k]]-2</f>
        <v>94</v>
      </c>
      <c r="W58">
        <f>Table1[[#This Row],[Dense Baseline]]-Table1[[#This Row],[cycles]]</f>
        <v>31</v>
      </c>
      <c r="X58">
        <f>(Table1[[#This Row],[eff_macs]]/Table1[[#This Row],[cycles]])*0.07</f>
        <v>22.080000000000002</v>
      </c>
      <c r="Y58">
        <f>(Table1[[#This Row],[orig_macs]]/Table1[[#This Row],[cycles]])*0.07</f>
        <v>72.817777777777778</v>
      </c>
      <c r="Z58">
        <f>(Table1[[#This Row],[Dense-Equivalent Throughput (GOPS)]] / IF(Table1[[#This Row],[config]]=0,144781,7618)) * 1000</f>
        <v>0.50295120062561927</v>
      </c>
      <c r="AA58">
        <f>(Table1[[#This Row],[Dense-Equivalent Throughput (GOPS)]] / 654.74 )/ IF(Table1[[#This Row],[config]]=0, 42381, 7618) * 10^9</f>
        <v>2624.2025141517352</v>
      </c>
      <c r="AB58">
        <f>IF(Table1[[#This Row],[config]]=0, 2860, 2210) * (Table1[[#This Row],[cycles]] / 70) / 1000</f>
        <v>2.5739999999999998</v>
      </c>
    </row>
    <row r="59" spans="1:28" x14ac:dyDescent="0.25">
      <c r="A59" t="s">
        <v>20</v>
      </c>
      <c r="B59" t="s">
        <v>22</v>
      </c>
      <c r="C59">
        <v>1</v>
      </c>
      <c r="D59">
        <v>10</v>
      </c>
      <c r="E59">
        <v>32</v>
      </c>
      <c r="F59">
        <v>32</v>
      </c>
      <c r="G59">
        <v>32</v>
      </c>
      <c r="H59">
        <v>24</v>
      </c>
      <c r="I59">
        <v>19</v>
      </c>
      <c r="J59">
        <v>18</v>
      </c>
      <c r="K59">
        <v>0</v>
      </c>
      <c r="L59">
        <v>32</v>
      </c>
      <c r="M59">
        <v>0.62209999999999999</v>
      </c>
      <c r="N59">
        <v>65536</v>
      </c>
      <c r="O59">
        <v>16416</v>
      </c>
      <c r="P59">
        <v>0.74950000000000006</v>
      </c>
      <c r="Q59">
        <v>59</v>
      </c>
      <c r="R59">
        <v>43.8</v>
      </c>
      <c r="S59" t="b">
        <v>1</v>
      </c>
      <c r="T59">
        <v>0.84285714300000003</v>
      </c>
      <c r="U59">
        <v>57</v>
      </c>
      <c r="V59">
        <f>Table1[[#This Row],[orig_m]]+Table1[[#This Row],[orig_n]]+Table1[[#This Row],[orig_k]]-2</f>
        <v>94</v>
      </c>
      <c r="W59">
        <f>Table1[[#This Row],[Dense Baseline]]-Table1[[#This Row],[cycles]]</f>
        <v>35</v>
      </c>
      <c r="X59">
        <f>(Table1[[#This Row],[eff_macs]]/Table1[[#This Row],[cycles]])*0.07</f>
        <v>19.476610169491529</v>
      </c>
      <c r="Y59">
        <f>(Table1[[#This Row],[orig_macs]]/Table1[[#This Row],[cycles]])*0.07</f>
        <v>77.754576271186451</v>
      </c>
      <c r="Z59">
        <f>(Table1[[#This Row],[Dense-Equivalent Throughput (GOPS)]] / IF(Table1[[#This Row],[config]]=0,144781,7618)) * 1000</f>
        <v>0.5370495871087122</v>
      </c>
      <c r="AA59">
        <f>(Table1[[#This Row],[Dense-Equivalent Throughput (GOPS)]] / 654.74 )/ IF(Table1[[#This Row],[config]]=0, 42381, 7618) * 10^9</f>
        <v>2802.11454900948</v>
      </c>
      <c r="AB59">
        <f>IF(Table1[[#This Row],[config]]=0, 2860, 2210) * (Table1[[#This Row],[cycles]] / 70) / 1000</f>
        <v>2.4105714285714286</v>
      </c>
    </row>
    <row r="60" spans="1:28" x14ac:dyDescent="0.25">
      <c r="A60" t="s">
        <v>20</v>
      </c>
      <c r="B60" t="s">
        <v>22</v>
      </c>
      <c r="C60">
        <v>1</v>
      </c>
      <c r="D60">
        <v>11</v>
      </c>
      <c r="E60">
        <v>32</v>
      </c>
      <c r="F60">
        <v>32</v>
      </c>
      <c r="G60">
        <v>32</v>
      </c>
      <c r="H60">
        <v>24</v>
      </c>
      <c r="I60">
        <v>17</v>
      </c>
      <c r="J60">
        <v>18</v>
      </c>
      <c r="K60">
        <v>0</v>
      </c>
      <c r="L60">
        <v>32</v>
      </c>
      <c r="M60">
        <v>0.63959999999999995</v>
      </c>
      <c r="N60">
        <v>65536</v>
      </c>
      <c r="O60">
        <v>14688</v>
      </c>
      <c r="P60">
        <v>0.77590000000000003</v>
      </c>
      <c r="Q60">
        <v>57</v>
      </c>
      <c r="R60">
        <v>162.6</v>
      </c>
      <c r="S60" t="b">
        <v>1</v>
      </c>
      <c r="T60">
        <v>0.81428571400000005</v>
      </c>
      <c r="U60">
        <v>58</v>
      </c>
      <c r="V60">
        <f>Table1[[#This Row],[orig_m]]+Table1[[#This Row],[orig_n]]+Table1[[#This Row],[orig_k]]-2</f>
        <v>94</v>
      </c>
      <c r="W60">
        <f>Table1[[#This Row],[Dense Baseline]]-Table1[[#This Row],[cycles]]</f>
        <v>37</v>
      </c>
      <c r="X60">
        <f>(Table1[[#This Row],[eff_macs]]/Table1[[#This Row],[cycles]])*0.07</f>
        <v>18.037894736842105</v>
      </c>
      <c r="Y60">
        <f>(Table1[[#This Row],[orig_macs]]/Table1[[#This Row],[cycles]])*0.07</f>
        <v>80.482807017543863</v>
      </c>
      <c r="Z60">
        <f>(Table1[[#This Row],[Dense-Equivalent Throughput (GOPS)]] / IF(Table1[[#This Row],[config]]=0,144781,7618)) * 1000</f>
        <v>0.55589343227042132</v>
      </c>
      <c r="AA60">
        <f>(Table1[[#This Row],[Dense-Equivalent Throughput (GOPS)]] / 654.74 )/ IF(Table1[[#This Row],[config]]=0, 42381, 7618) * 10^9</f>
        <v>2900.4343577466548</v>
      </c>
      <c r="AB60">
        <f>IF(Table1[[#This Row],[config]]=0, 2860, 2210) * (Table1[[#This Row],[cycles]] / 70) / 1000</f>
        <v>2.3288571428571427</v>
      </c>
    </row>
    <row r="61" spans="1:28" x14ac:dyDescent="0.25">
      <c r="A61" t="s">
        <v>20</v>
      </c>
      <c r="B61" t="s">
        <v>22</v>
      </c>
      <c r="C61">
        <v>1</v>
      </c>
      <c r="D61">
        <v>12</v>
      </c>
      <c r="E61">
        <v>32</v>
      </c>
      <c r="F61">
        <v>32</v>
      </c>
      <c r="G61">
        <v>32</v>
      </c>
      <c r="H61">
        <v>24</v>
      </c>
      <c r="I61">
        <v>13</v>
      </c>
      <c r="J61">
        <v>18</v>
      </c>
      <c r="K61">
        <v>0</v>
      </c>
      <c r="L61">
        <v>32</v>
      </c>
      <c r="M61">
        <v>0.67479999999999996</v>
      </c>
      <c r="N61">
        <v>65536</v>
      </c>
      <c r="O61">
        <v>11232</v>
      </c>
      <c r="P61">
        <v>0.8286</v>
      </c>
      <c r="Q61">
        <v>53</v>
      </c>
      <c r="R61">
        <v>40.9</v>
      </c>
      <c r="S61" t="b">
        <v>1</v>
      </c>
      <c r="T61">
        <v>0.75714285699999995</v>
      </c>
      <c r="U61">
        <v>59</v>
      </c>
      <c r="V61">
        <f>Table1[[#This Row],[orig_m]]+Table1[[#This Row],[orig_n]]+Table1[[#This Row],[orig_k]]-2</f>
        <v>94</v>
      </c>
      <c r="W61">
        <f>Table1[[#This Row],[Dense Baseline]]-Table1[[#This Row],[cycles]]</f>
        <v>41</v>
      </c>
      <c r="X61">
        <f>(Table1[[#This Row],[eff_macs]]/Table1[[#This Row],[cycles]])*0.07</f>
        <v>14.834716981132077</v>
      </c>
      <c r="Y61">
        <f>(Table1[[#This Row],[orig_macs]]/Table1[[#This Row],[cycles]])*0.07</f>
        <v>86.556981132075478</v>
      </c>
      <c r="Z61">
        <f>(Table1[[#This Row],[Dense-Equivalent Throughput (GOPS)]] / IF(Table1[[#This Row],[config]]=0,144781,7618)) * 1000</f>
        <v>0.59784765357384928</v>
      </c>
      <c r="AA61">
        <f>(Table1[[#This Row],[Dense-Equivalent Throughput (GOPS)]] / 654.74 )/ IF(Table1[[#This Row],[config]]=0, 42381, 7618) * 10^9</f>
        <v>3119.3350639916853</v>
      </c>
      <c r="AB61">
        <f>IF(Table1[[#This Row],[config]]=0, 2860, 2210) * (Table1[[#This Row],[cycles]] / 70) / 1000</f>
        <v>2.1654285714285715</v>
      </c>
    </row>
    <row r="62" spans="1:28" x14ac:dyDescent="0.25">
      <c r="A62" t="s">
        <v>20</v>
      </c>
      <c r="B62" t="s">
        <v>22</v>
      </c>
      <c r="C62">
        <v>1</v>
      </c>
      <c r="D62">
        <v>13</v>
      </c>
      <c r="E62">
        <v>32</v>
      </c>
      <c r="F62">
        <v>32</v>
      </c>
      <c r="G62">
        <v>32</v>
      </c>
      <c r="H62">
        <v>24</v>
      </c>
      <c r="I62">
        <v>21</v>
      </c>
      <c r="J62">
        <v>18</v>
      </c>
      <c r="K62">
        <v>0</v>
      </c>
      <c r="L62">
        <v>32</v>
      </c>
      <c r="M62">
        <v>0.60450000000000004</v>
      </c>
      <c r="N62">
        <v>65536</v>
      </c>
      <c r="O62">
        <v>18144</v>
      </c>
      <c r="P62">
        <v>0.72309999999999997</v>
      </c>
      <c r="Q62">
        <v>61</v>
      </c>
      <c r="R62">
        <v>41.2</v>
      </c>
      <c r="S62" t="b">
        <v>1</v>
      </c>
      <c r="T62">
        <v>0.87142857100000004</v>
      </c>
      <c r="U62">
        <v>60</v>
      </c>
      <c r="V62">
        <f>Table1[[#This Row],[orig_m]]+Table1[[#This Row],[orig_n]]+Table1[[#This Row],[orig_k]]-2</f>
        <v>94</v>
      </c>
      <c r="W62">
        <f>Table1[[#This Row],[Dense Baseline]]-Table1[[#This Row],[cycles]]</f>
        <v>33</v>
      </c>
      <c r="X62">
        <f>(Table1[[#This Row],[eff_macs]]/Table1[[#This Row],[cycles]])*0.07</f>
        <v>20.82098360655738</v>
      </c>
      <c r="Y62">
        <f>(Table1[[#This Row],[orig_macs]]/Table1[[#This Row],[cycles]])*0.07</f>
        <v>75.205245901639358</v>
      </c>
      <c r="Z62">
        <f>(Table1[[#This Row],[Dense-Equivalent Throughput (GOPS)]] / IF(Table1[[#This Row],[config]]=0,144781,7618)) * 1000</f>
        <v>0.51944140392481997</v>
      </c>
      <c r="AA62">
        <f>(Table1[[#This Row],[Dense-Equivalent Throughput (GOPS)]] / 654.74 )/ IF(Table1[[#This Row],[config]]=0, 42381, 7618) * 10^9</f>
        <v>2710.2419408452347</v>
      </c>
      <c r="AB62">
        <f>IF(Table1[[#This Row],[config]]=0, 2860, 2210) * (Table1[[#This Row],[cycles]] / 70) / 1000</f>
        <v>2.4922857142857144</v>
      </c>
    </row>
    <row r="63" spans="1:28" x14ac:dyDescent="0.25">
      <c r="A63" t="s">
        <v>20</v>
      </c>
      <c r="B63" t="s">
        <v>22</v>
      </c>
      <c r="C63">
        <v>1</v>
      </c>
      <c r="D63">
        <v>14</v>
      </c>
      <c r="E63">
        <v>32</v>
      </c>
      <c r="F63">
        <v>32</v>
      </c>
      <c r="G63">
        <v>32</v>
      </c>
      <c r="H63">
        <v>24</v>
      </c>
      <c r="I63">
        <v>17</v>
      </c>
      <c r="J63">
        <v>18</v>
      </c>
      <c r="K63">
        <v>0</v>
      </c>
      <c r="L63">
        <v>32</v>
      </c>
      <c r="M63">
        <v>0.63959999999999995</v>
      </c>
      <c r="N63">
        <v>65536</v>
      </c>
      <c r="O63">
        <v>14688</v>
      </c>
      <c r="P63">
        <v>0.77590000000000003</v>
      </c>
      <c r="Q63">
        <v>57</v>
      </c>
      <c r="R63">
        <v>41.2</v>
      </c>
      <c r="S63" t="b">
        <v>1</v>
      </c>
      <c r="T63">
        <v>0.81428571400000005</v>
      </c>
      <c r="U63">
        <v>61</v>
      </c>
      <c r="V63">
        <f>Table1[[#This Row],[orig_m]]+Table1[[#This Row],[orig_n]]+Table1[[#This Row],[orig_k]]-2</f>
        <v>94</v>
      </c>
      <c r="W63">
        <f>Table1[[#This Row],[Dense Baseline]]-Table1[[#This Row],[cycles]]</f>
        <v>37</v>
      </c>
      <c r="X63">
        <f>(Table1[[#This Row],[eff_macs]]/Table1[[#This Row],[cycles]])*0.07</f>
        <v>18.037894736842105</v>
      </c>
      <c r="Y63">
        <f>(Table1[[#This Row],[orig_macs]]/Table1[[#This Row],[cycles]])*0.07</f>
        <v>80.482807017543863</v>
      </c>
      <c r="Z63">
        <f>(Table1[[#This Row],[Dense-Equivalent Throughput (GOPS)]] / IF(Table1[[#This Row],[config]]=0,144781,7618)) * 1000</f>
        <v>0.55589343227042132</v>
      </c>
      <c r="AA63">
        <f>(Table1[[#This Row],[Dense-Equivalent Throughput (GOPS)]] / 654.74 )/ IF(Table1[[#This Row],[config]]=0, 42381, 7618) * 10^9</f>
        <v>2900.4343577466548</v>
      </c>
      <c r="AB63">
        <f>IF(Table1[[#This Row],[config]]=0, 2860, 2210) * (Table1[[#This Row],[cycles]] / 70) / 1000</f>
        <v>2.3288571428571427</v>
      </c>
    </row>
    <row r="64" spans="1:28" x14ac:dyDescent="0.25">
      <c r="A64" t="s">
        <v>20</v>
      </c>
      <c r="B64" t="s">
        <v>22</v>
      </c>
      <c r="C64">
        <v>1</v>
      </c>
      <c r="D64">
        <v>15</v>
      </c>
      <c r="E64">
        <v>32</v>
      </c>
      <c r="F64">
        <v>32</v>
      </c>
      <c r="G64">
        <v>32</v>
      </c>
      <c r="H64">
        <v>24</v>
      </c>
      <c r="I64">
        <v>18</v>
      </c>
      <c r="J64">
        <v>18</v>
      </c>
      <c r="K64">
        <v>0</v>
      </c>
      <c r="L64">
        <v>32</v>
      </c>
      <c r="M64">
        <v>0.63090000000000002</v>
      </c>
      <c r="N64">
        <v>65536</v>
      </c>
      <c r="O64">
        <v>15552</v>
      </c>
      <c r="P64">
        <v>0.76270000000000004</v>
      </c>
      <c r="Q64">
        <v>58</v>
      </c>
      <c r="R64">
        <v>78</v>
      </c>
      <c r="S64" t="b">
        <v>1</v>
      </c>
      <c r="T64">
        <v>0.82857142900000003</v>
      </c>
      <c r="U64">
        <v>62</v>
      </c>
      <c r="V64">
        <f>Table1[[#This Row],[orig_m]]+Table1[[#This Row],[orig_n]]+Table1[[#This Row],[orig_k]]-2</f>
        <v>94</v>
      </c>
      <c r="W64">
        <f>Table1[[#This Row],[Dense Baseline]]-Table1[[#This Row],[cycles]]</f>
        <v>36</v>
      </c>
      <c r="X64">
        <f>(Table1[[#This Row],[eff_macs]]/Table1[[#This Row],[cycles]])*0.07</f>
        <v>18.769655172413792</v>
      </c>
      <c r="Y64">
        <f>(Table1[[#This Row],[orig_macs]]/Table1[[#This Row],[cycles]])*0.07</f>
        <v>79.095172413793108</v>
      </c>
      <c r="Z64">
        <f>(Table1[[#This Row],[Dense-Equivalent Throughput (GOPS)]] / IF(Table1[[#This Row],[config]]=0,144781,7618)) * 1000</f>
        <v>0.54630906274851743</v>
      </c>
      <c r="AA64">
        <f>(Table1[[#This Row],[Dense-Equivalent Throughput (GOPS)]] / 654.74 )/ IF(Table1[[#This Row],[config]]=0, 42381, 7618) * 10^9</f>
        <v>2850.4268688199882</v>
      </c>
      <c r="AB64">
        <f>IF(Table1[[#This Row],[config]]=0, 2860, 2210) * (Table1[[#This Row],[cycles]] / 70) / 1000</f>
        <v>2.3697142857142857</v>
      </c>
    </row>
    <row r="65" spans="1:28" x14ac:dyDescent="0.25">
      <c r="A65" t="s">
        <v>20</v>
      </c>
      <c r="B65" t="s">
        <v>22</v>
      </c>
      <c r="C65">
        <v>1</v>
      </c>
      <c r="D65">
        <v>16</v>
      </c>
      <c r="E65">
        <v>32</v>
      </c>
      <c r="F65">
        <v>32</v>
      </c>
      <c r="G65">
        <v>32</v>
      </c>
      <c r="H65">
        <v>24</v>
      </c>
      <c r="I65">
        <v>13</v>
      </c>
      <c r="J65">
        <v>18</v>
      </c>
      <c r="K65">
        <v>0</v>
      </c>
      <c r="L65">
        <v>32</v>
      </c>
      <c r="M65">
        <v>0.67479999999999996</v>
      </c>
      <c r="N65">
        <v>65536</v>
      </c>
      <c r="O65">
        <v>11232</v>
      </c>
      <c r="P65">
        <v>0.8286</v>
      </c>
      <c r="Q65">
        <v>53</v>
      </c>
      <c r="R65">
        <v>40.6</v>
      </c>
      <c r="S65" t="b">
        <v>1</v>
      </c>
      <c r="T65">
        <v>0.75714285699999995</v>
      </c>
      <c r="U65">
        <v>63</v>
      </c>
      <c r="V65">
        <f>Table1[[#This Row],[orig_m]]+Table1[[#This Row],[orig_n]]+Table1[[#This Row],[orig_k]]-2</f>
        <v>94</v>
      </c>
      <c r="W65">
        <f>Table1[[#This Row],[Dense Baseline]]-Table1[[#This Row],[cycles]]</f>
        <v>41</v>
      </c>
      <c r="X65">
        <f>(Table1[[#This Row],[eff_macs]]/Table1[[#This Row],[cycles]])*0.07</f>
        <v>14.834716981132077</v>
      </c>
      <c r="Y65">
        <f>(Table1[[#This Row],[orig_macs]]/Table1[[#This Row],[cycles]])*0.07</f>
        <v>86.556981132075478</v>
      </c>
      <c r="Z65">
        <f>(Table1[[#This Row],[Dense-Equivalent Throughput (GOPS)]] / IF(Table1[[#This Row],[config]]=0,144781,7618)) * 1000</f>
        <v>0.59784765357384928</v>
      </c>
      <c r="AA65">
        <f>(Table1[[#This Row],[Dense-Equivalent Throughput (GOPS)]] / 654.74 )/ IF(Table1[[#This Row],[config]]=0, 42381, 7618) * 10^9</f>
        <v>3119.3350639916853</v>
      </c>
      <c r="AB65">
        <f>IF(Table1[[#This Row],[config]]=0, 2860, 2210) * (Table1[[#This Row],[cycles]] / 70) / 1000</f>
        <v>2.1654285714285715</v>
      </c>
    </row>
    <row r="66" spans="1:28" x14ac:dyDescent="0.25">
      <c r="A66" t="s">
        <v>20</v>
      </c>
      <c r="B66" t="s">
        <v>22</v>
      </c>
      <c r="C66">
        <v>1</v>
      </c>
      <c r="D66">
        <v>17</v>
      </c>
      <c r="E66">
        <v>32</v>
      </c>
      <c r="F66">
        <v>32</v>
      </c>
      <c r="G66">
        <v>32</v>
      </c>
      <c r="H66">
        <v>24</v>
      </c>
      <c r="I66">
        <v>23</v>
      </c>
      <c r="J66">
        <v>18</v>
      </c>
      <c r="K66">
        <v>0</v>
      </c>
      <c r="L66">
        <v>32</v>
      </c>
      <c r="M66">
        <v>0.58689999999999998</v>
      </c>
      <c r="N66">
        <v>65536</v>
      </c>
      <c r="O66">
        <v>19872</v>
      </c>
      <c r="P66">
        <v>0.69679999999999997</v>
      </c>
      <c r="Q66">
        <v>63</v>
      </c>
      <c r="R66">
        <v>159.9</v>
      </c>
      <c r="S66" t="b">
        <v>1</v>
      </c>
      <c r="T66">
        <v>0.9</v>
      </c>
      <c r="U66">
        <v>64</v>
      </c>
      <c r="V66">
        <f>Table1[[#This Row],[orig_m]]+Table1[[#This Row],[orig_n]]+Table1[[#This Row],[orig_k]]-2</f>
        <v>94</v>
      </c>
      <c r="W66">
        <f>Table1[[#This Row],[Dense Baseline]]-Table1[[#This Row],[cycles]]</f>
        <v>31</v>
      </c>
      <c r="X66">
        <f>(Table1[[#This Row],[eff_macs]]/Table1[[#This Row],[cycles]])*0.07</f>
        <v>22.080000000000002</v>
      </c>
      <c r="Y66">
        <f>(Table1[[#This Row],[orig_macs]]/Table1[[#This Row],[cycles]])*0.07</f>
        <v>72.817777777777778</v>
      </c>
      <c r="Z66">
        <f>(Table1[[#This Row],[Dense-Equivalent Throughput (GOPS)]] / IF(Table1[[#This Row],[config]]=0,144781,7618)) * 1000</f>
        <v>0.50295120062561927</v>
      </c>
      <c r="AA66">
        <f>(Table1[[#This Row],[Dense-Equivalent Throughput (GOPS)]] / 654.74 )/ IF(Table1[[#This Row],[config]]=0, 42381, 7618) * 10^9</f>
        <v>2624.2025141517352</v>
      </c>
      <c r="AB66">
        <f>IF(Table1[[#This Row],[config]]=0, 2860, 2210) * (Table1[[#This Row],[cycles]] / 70) / 1000</f>
        <v>2.5739999999999998</v>
      </c>
    </row>
    <row r="67" spans="1:28" x14ac:dyDescent="0.25">
      <c r="A67" t="s">
        <v>20</v>
      </c>
      <c r="B67" t="s">
        <v>22</v>
      </c>
      <c r="C67">
        <v>1</v>
      </c>
      <c r="D67">
        <v>18</v>
      </c>
      <c r="E67">
        <v>32</v>
      </c>
      <c r="F67">
        <v>32</v>
      </c>
      <c r="G67">
        <v>32</v>
      </c>
      <c r="H67">
        <v>24</v>
      </c>
      <c r="I67">
        <v>19</v>
      </c>
      <c r="J67">
        <v>18</v>
      </c>
      <c r="K67">
        <v>0</v>
      </c>
      <c r="L67">
        <v>32</v>
      </c>
      <c r="M67">
        <v>0.62209999999999999</v>
      </c>
      <c r="N67">
        <v>65536</v>
      </c>
      <c r="O67">
        <v>16416</v>
      </c>
      <c r="P67">
        <v>0.74950000000000006</v>
      </c>
      <c r="Q67">
        <v>59</v>
      </c>
      <c r="R67">
        <v>38.700000000000003</v>
      </c>
      <c r="S67" t="b">
        <v>1</v>
      </c>
      <c r="T67">
        <v>0.84285714300000003</v>
      </c>
      <c r="U67">
        <v>65</v>
      </c>
      <c r="V67">
        <f>Table1[[#This Row],[orig_m]]+Table1[[#This Row],[orig_n]]+Table1[[#This Row],[orig_k]]-2</f>
        <v>94</v>
      </c>
      <c r="W67">
        <f>Table1[[#This Row],[Dense Baseline]]-Table1[[#This Row],[cycles]]</f>
        <v>35</v>
      </c>
      <c r="X67">
        <f>(Table1[[#This Row],[eff_macs]]/Table1[[#This Row],[cycles]])*0.07</f>
        <v>19.476610169491529</v>
      </c>
      <c r="Y67">
        <f>(Table1[[#This Row],[orig_macs]]/Table1[[#This Row],[cycles]])*0.07</f>
        <v>77.754576271186451</v>
      </c>
      <c r="Z67">
        <f>(Table1[[#This Row],[Dense-Equivalent Throughput (GOPS)]] / IF(Table1[[#This Row],[config]]=0,144781,7618)) * 1000</f>
        <v>0.5370495871087122</v>
      </c>
      <c r="AA67">
        <f>(Table1[[#This Row],[Dense-Equivalent Throughput (GOPS)]] / 654.74 )/ IF(Table1[[#This Row],[config]]=0, 42381, 7618) * 10^9</f>
        <v>2802.11454900948</v>
      </c>
      <c r="AB67">
        <f>IF(Table1[[#This Row],[config]]=0, 2860, 2210) * (Table1[[#This Row],[cycles]] / 70) / 1000</f>
        <v>2.4105714285714286</v>
      </c>
    </row>
    <row r="68" spans="1:28" x14ac:dyDescent="0.25">
      <c r="A68" t="s">
        <v>20</v>
      </c>
      <c r="B68" t="s">
        <v>22</v>
      </c>
      <c r="C68">
        <v>1</v>
      </c>
      <c r="D68">
        <v>19</v>
      </c>
      <c r="E68">
        <v>32</v>
      </c>
      <c r="F68">
        <v>32</v>
      </c>
      <c r="G68">
        <v>32</v>
      </c>
      <c r="H68">
        <v>24</v>
      </c>
      <c r="I68">
        <v>17</v>
      </c>
      <c r="J68">
        <v>18</v>
      </c>
      <c r="K68">
        <v>0</v>
      </c>
      <c r="L68">
        <v>32</v>
      </c>
      <c r="M68">
        <v>0.63959999999999995</v>
      </c>
      <c r="N68">
        <v>65536</v>
      </c>
      <c r="O68">
        <v>14688</v>
      </c>
      <c r="P68">
        <v>0.77590000000000003</v>
      </c>
      <c r="Q68">
        <v>57</v>
      </c>
      <c r="R68">
        <v>45.3</v>
      </c>
      <c r="S68" t="b">
        <v>1</v>
      </c>
      <c r="T68">
        <v>0.81428571400000005</v>
      </c>
      <c r="U68">
        <v>66</v>
      </c>
      <c r="V68">
        <f>Table1[[#This Row],[orig_m]]+Table1[[#This Row],[orig_n]]+Table1[[#This Row],[orig_k]]-2</f>
        <v>94</v>
      </c>
      <c r="W68">
        <f>Table1[[#This Row],[Dense Baseline]]-Table1[[#This Row],[cycles]]</f>
        <v>37</v>
      </c>
      <c r="X68">
        <f>(Table1[[#This Row],[eff_macs]]/Table1[[#This Row],[cycles]])*0.07</f>
        <v>18.037894736842105</v>
      </c>
      <c r="Y68">
        <f>(Table1[[#This Row],[orig_macs]]/Table1[[#This Row],[cycles]])*0.07</f>
        <v>80.482807017543863</v>
      </c>
      <c r="Z68">
        <f>(Table1[[#This Row],[Dense-Equivalent Throughput (GOPS)]] / IF(Table1[[#This Row],[config]]=0,144781,7618)) * 1000</f>
        <v>0.55589343227042132</v>
      </c>
      <c r="AA68">
        <f>(Table1[[#This Row],[Dense-Equivalent Throughput (GOPS)]] / 654.74 )/ IF(Table1[[#This Row],[config]]=0, 42381, 7618) * 10^9</f>
        <v>2900.4343577466548</v>
      </c>
      <c r="AB68">
        <f>IF(Table1[[#This Row],[config]]=0, 2860, 2210) * (Table1[[#This Row],[cycles]] / 70) / 1000</f>
        <v>2.3288571428571427</v>
      </c>
    </row>
    <row r="69" spans="1:28" x14ac:dyDescent="0.25">
      <c r="A69" t="s">
        <v>20</v>
      </c>
      <c r="B69" t="s">
        <v>22</v>
      </c>
      <c r="C69">
        <v>1</v>
      </c>
      <c r="D69">
        <v>20</v>
      </c>
      <c r="E69">
        <v>32</v>
      </c>
      <c r="F69">
        <v>32</v>
      </c>
      <c r="G69">
        <v>32</v>
      </c>
      <c r="H69">
        <v>24</v>
      </c>
      <c r="I69">
        <v>13</v>
      </c>
      <c r="J69">
        <v>18</v>
      </c>
      <c r="K69">
        <v>0</v>
      </c>
      <c r="L69">
        <v>32</v>
      </c>
      <c r="M69">
        <v>0.67479999999999996</v>
      </c>
      <c r="N69">
        <v>65536</v>
      </c>
      <c r="O69">
        <v>11232</v>
      </c>
      <c r="P69">
        <v>0.8286</v>
      </c>
      <c r="Q69">
        <v>53</v>
      </c>
      <c r="R69">
        <v>50.3</v>
      </c>
      <c r="S69" t="b">
        <v>1</v>
      </c>
      <c r="T69">
        <v>0.75714285699999995</v>
      </c>
      <c r="U69">
        <v>67</v>
      </c>
      <c r="V69">
        <f>Table1[[#This Row],[orig_m]]+Table1[[#This Row],[orig_n]]+Table1[[#This Row],[orig_k]]-2</f>
        <v>94</v>
      </c>
      <c r="W69">
        <f>Table1[[#This Row],[Dense Baseline]]-Table1[[#This Row],[cycles]]</f>
        <v>41</v>
      </c>
      <c r="X69">
        <f>(Table1[[#This Row],[eff_macs]]/Table1[[#This Row],[cycles]])*0.07</f>
        <v>14.834716981132077</v>
      </c>
      <c r="Y69">
        <f>(Table1[[#This Row],[orig_macs]]/Table1[[#This Row],[cycles]])*0.07</f>
        <v>86.556981132075478</v>
      </c>
      <c r="Z69">
        <f>(Table1[[#This Row],[Dense-Equivalent Throughput (GOPS)]] / IF(Table1[[#This Row],[config]]=0,144781,7618)) * 1000</f>
        <v>0.59784765357384928</v>
      </c>
      <c r="AA69">
        <f>(Table1[[#This Row],[Dense-Equivalent Throughput (GOPS)]] / 654.74 )/ IF(Table1[[#This Row],[config]]=0, 42381, 7618) * 10^9</f>
        <v>3119.3350639916853</v>
      </c>
      <c r="AB69">
        <f>IF(Table1[[#This Row],[config]]=0, 2860, 2210) * (Table1[[#This Row],[cycles]] / 70) / 1000</f>
        <v>2.1654285714285715</v>
      </c>
    </row>
    <row r="70" spans="1:28" x14ac:dyDescent="0.25">
      <c r="A70" t="s">
        <v>20</v>
      </c>
      <c r="B70" t="s">
        <v>22</v>
      </c>
      <c r="C70">
        <v>1</v>
      </c>
      <c r="D70">
        <v>21</v>
      </c>
      <c r="E70">
        <v>32</v>
      </c>
      <c r="F70">
        <v>32</v>
      </c>
      <c r="G70">
        <v>32</v>
      </c>
      <c r="H70">
        <v>24</v>
      </c>
      <c r="I70">
        <v>21</v>
      </c>
      <c r="J70">
        <v>18</v>
      </c>
      <c r="K70">
        <v>0</v>
      </c>
      <c r="L70">
        <v>32</v>
      </c>
      <c r="M70">
        <v>0.60450000000000004</v>
      </c>
      <c r="N70">
        <v>65536</v>
      </c>
      <c r="O70">
        <v>18144</v>
      </c>
      <c r="P70">
        <v>0.72309999999999997</v>
      </c>
      <c r="Q70">
        <v>61</v>
      </c>
      <c r="R70">
        <v>69.400000000000006</v>
      </c>
      <c r="S70" t="b">
        <v>1</v>
      </c>
      <c r="T70">
        <v>0.87142857100000004</v>
      </c>
      <c r="U70">
        <v>68</v>
      </c>
      <c r="V70">
        <f>Table1[[#This Row],[orig_m]]+Table1[[#This Row],[orig_n]]+Table1[[#This Row],[orig_k]]-2</f>
        <v>94</v>
      </c>
      <c r="W70">
        <f>Table1[[#This Row],[Dense Baseline]]-Table1[[#This Row],[cycles]]</f>
        <v>33</v>
      </c>
      <c r="X70">
        <f>(Table1[[#This Row],[eff_macs]]/Table1[[#This Row],[cycles]])*0.07</f>
        <v>20.82098360655738</v>
      </c>
      <c r="Y70">
        <f>(Table1[[#This Row],[orig_macs]]/Table1[[#This Row],[cycles]])*0.07</f>
        <v>75.205245901639358</v>
      </c>
      <c r="Z70">
        <f>(Table1[[#This Row],[Dense-Equivalent Throughput (GOPS)]] / IF(Table1[[#This Row],[config]]=0,144781,7618)) * 1000</f>
        <v>0.51944140392481997</v>
      </c>
      <c r="AA70">
        <f>(Table1[[#This Row],[Dense-Equivalent Throughput (GOPS)]] / 654.74 )/ IF(Table1[[#This Row],[config]]=0, 42381, 7618) * 10^9</f>
        <v>2710.2419408452347</v>
      </c>
      <c r="AB70">
        <f>IF(Table1[[#This Row],[config]]=0, 2860, 2210) * (Table1[[#This Row],[cycles]] / 70) / 1000</f>
        <v>2.4922857142857144</v>
      </c>
    </row>
    <row r="71" spans="1:28" x14ac:dyDescent="0.25">
      <c r="A71" t="s">
        <v>20</v>
      </c>
      <c r="B71" t="s">
        <v>22</v>
      </c>
      <c r="C71">
        <v>1</v>
      </c>
      <c r="D71">
        <v>22</v>
      </c>
      <c r="E71">
        <v>32</v>
      </c>
      <c r="F71">
        <v>32</v>
      </c>
      <c r="G71">
        <v>32</v>
      </c>
      <c r="H71">
        <v>24</v>
      </c>
      <c r="I71">
        <v>17</v>
      </c>
      <c r="J71">
        <v>18</v>
      </c>
      <c r="K71">
        <v>0</v>
      </c>
      <c r="L71">
        <v>32</v>
      </c>
      <c r="M71">
        <v>0.63959999999999995</v>
      </c>
      <c r="N71">
        <v>65536</v>
      </c>
      <c r="O71">
        <v>14688</v>
      </c>
      <c r="P71">
        <v>0.77590000000000003</v>
      </c>
      <c r="Q71">
        <v>57</v>
      </c>
      <c r="R71">
        <v>47.8</v>
      </c>
      <c r="S71" t="b">
        <v>1</v>
      </c>
      <c r="T71">
        <v>0.81428571400000005</v>
      </c>
      <c r="U71">
        <v>69</v>
      </c>
      <c r="V71">
        <f>Table1[[#This Row],[orig_m]]+Table1[[#This Row],[orig_n]]+Table1[[#This Row],[orig_k]]-2</f>
        <v>94</v>
      </c>
      <c r="W71">
        <f>Table1[[#This Row],[Dense Baseline]]-Table1[[#This Row],[cycles]]</f>
        <v>37</v>
      </c>
      <c r="X71">
        <f>(Table1[[#This Row],[eff_macs]]/Table1[[#This Row],[cycles]])*0.07</f>
        <v>18.037894736842105</v>
      </c>
      <c r="Y71">
        <f>(Table1[[#This Row],[orig_macs]]/Table1[[#This Row],[cycles]])*0.07</f>
        <v>80.482807017543863</v>
      </c>
      <c r="Z71">
        <f>(Table1[[#This Row],[Dense-Equivalent Throughput (GOPS)]] / IF(Table1[[#This Row],[config]]=0,144781,7618)) * 1000</f>
        <v>0.55589343227042132</v>
      </c>
      <c r="AA71">
        <f>(Table1[[#This Row],[Dense-Equivalent Throughput (GOPS)]] / 654.74 )/ IF(Table1[[#This Row],[config]]=0, 42381, 7618) * 10^9</f>
        <v>2900.4343577466548</v>
      </c>
      <c r="AB71">
        <f>IF(Table1[[#This Row],[config]]=0, 2860, 2210) * (Table1[[#This Row],[cycles]] / 70) / 1000</f>
        <v>2.3288571428571427</v>
      </c>
    </row>
    <row r="72" spans="1:28" x14ac:dyDescent="0.25">
      <c r="A72" t="s">
        <v>20</v>
      </c>
      <c r="B72" t="s">
        <v>22</v>
      </c>
      <c r="C72">
        <v>1</v>
      </c>
      <c r="D72">
        <v>23</v>
      </c>
      <c r="E72">
        <v>32</v>
      </c>
      <c r="F72">
        <v>32</v>
      </c>
      <c r="G72">
        <v>32</v>
      </c>
      <c r="H72">
        <v>24</v>
      </c>
      <c r="I72">
        <v>18</v>
      </c>
      <c r="J72">
        <v>18</v>
      </c>
      <c r="K72">
        <v>0</v>
      </c>
      <c r="L72">
        <v>32</v>
      </c>
      <c r="M72">
        <v>0.63090000000000002</v>
      </c>
      <c r="N72">
        <v>65536</v>
      </c>
      <c r="O72">
        <v>15552</v>
      </c>
      <c r="P72">
        <v>0.76270000000000004</v>
      </c>
      <c r="Q72">
        <v>58</v>
      </c>
      <c r="R72">
        <v>156.80000000000001</v>
      </c>
      <c r="S72" t="b">
        <v>1</v>
      </c>
      <c r="T72">
        <v>0.82857142900000003</v>
      </c>
      <c r="U72">
        <v>70</v>
      </c>
      <c r="V72">
        <f>Table1[[#This Row],[orig_m]]+Table1[[#This Row],[orig_n]]+Table1[[#This Row],[orig_k]]-2</f>
        <v>94</v>
      </c>
      <c r="W72">
        <f>Table1[[#This Row],[Dense Baseline]]-Table1[[#This Row],[cycles]]</f>
        <v>36</v>
      </c>
      <c r="X72">
        <f>(Table1[[#This Row],[eff_macs]]/Table1[[#This Row],[cycles]])*0.07</f>
        <v>18.769655172413792</v>
      </c>
      <c r="Y72">
        <f>(Table1[[#This Row],[orig_macs]]/Table1[[#This Row],[cycles]])*0.07</f>
        <v>79.095172413793108</v>
      </c>
      <c r="Z72">
        <f>(Table1[[#This Row],[Dense-Equivalent Throughput (GOPS)]] / IF(Table1[[#This Row],[config]]=0,144781,7618)) * 1000</f>
        <v>0.54630906274851743</v>
      </c>
      <c r="AA72">
        <f>(Table1[[#This Row],[Dense-Equivalent Throughput (GOPS)]] / 654.74 )/ IF(Table1[[#This Row],[config]]=0, 42381, 7618) * 10^9</f>
        <v>2850.4268688199882</v>
      </c>
      <c r="AB72">
        <f>IF(Table1[[#This Row],[config]]=0, 2860, 2210) * (Table1[[#This Row],[cycles]] / 70) / 1000</f>
        <v>2.3697142857142857</v>
      </c>
    </row>
    <row r="73" spans="1:28" x14ac:dyDescent="0.25">
      <c r="A73" t="s">
        <v>20</v>
      </c>
      <c r="B73" t="s">
        <v>22</v>
      </c>
      <c r="C73">
        <v>1</v>
      </c>
      <c r="D73">
        <v>24</v>
      </c>
      <c r="E73">
        <v>32</v>
      </c>
      <c r="F73">
        <v>32</v>
      </c>
      <c r="G73">
        <v>32</v>
      </c>
      <c r="H73">
        <v>24</v>
      </c>
      <c r="I73">
        <v>13</v>
      </c>
      <c r="J73">
        <v>18</v>
      </c>
      <c r="K73">
        <v>0</v>
      </c>
      <c r="L73">
        <v>32</v>
      </c>
      <c r="M73">
        <v>0.67479999999999996</v>
      </c>
      <c r="N73">
        <v>65536</v>
      </c>
      <c r="O73">
        <v>11232</v>
      </c>
      <c r="P73">
        <v>0.8286</v>
      </c>
      <c r="Q73">
        <v>53</v>
      </c>
      <c r="R73">
        <v>177.6</v>
      </c>
      <c r="S73" t="b">
        <v>1</v>
      </c>
      <c r="T73">
        <v>0.75714285699999995</v>
      </c>
      <c r="U73">
        <v>71</v>
      </c>
      <c r="V73">
        <f>Table1[[#This Row],[orig_m]]+Table1[[#This Row],[orig_n]]+Table1[[#This Row],[orig_k]]-2</f>
        <v>94</v>
      </c>
      <c r="W73">
        <f>Table1[[#This Row],[Dense Baseline]]-Table1[[#This Row],[cycles]]</f>
        <v>41</v>
      </c>
      <c r="X73">
        <f>(Table1[[#This Row],[eff_macs]]/Table1[[#This Row],[cycles]])*0.07</f>
        <v>14.834716981132077</v>
      </c>
      <c r="Y73">
        <f>(Table1[[#This Row],[orig_macs]]/Table1[[#This Row],[cycles]])*0.07</f>
        <v>86.556981132075478</v>
      </c>
      <c r="Z73">
        <f>(Table1[[#This Row],[Dense-Equivalent Throughput (GOPS)]] / IF(Table1[[#This Row],[config]]=0,144781,7618)) * 1000</f>
        <v>0.59784765357384928</v>
      </c>
      <c r="AA73">
        <f>(Table1[[#This Row],[Dense-Equivalent Throughput (GOPS)]] / 654.74 )/ IF(Table1[[#This Row],[config]]=0, 42381, 7618) * 10^9</f>
        <v>3119.3350639916853</v>
      </c>
      <c r="AB73">
        <f>IF(Table1[[#This Row],[config]]=0, 2860, 2210) * (Table1[[#This Row],[cycles]] / 70) / 1000</f>
        <v>2.1654285714285715</v>
      </c>
    </row>
    <row r="74" spans="1:28" x14ac:dyDescent="0.25">
      <c r="A74" t="s">
        <v>20</v>
      </c>
      <c r="B74" t="s">
        <v>22</v>
      </c>
      <c r="C74">
        <v>1</v>
      </c>
      <c r="D74">
        <v>25</v>
      </c>
      <c r="E74">
        <v>32</v>
      </c>
      <c r="F74">
        <v>32</v>
      </c>
      <c r="G74">
        <v>32</v>
      </c>
      <c r="H74">
        <v>29</v>
      </c>
      <c r="I74">
        <v>23</v>
      </c>
      <c r="J74">
        <v>18</v>
      </c>
      <c r="K74">
        <v>0</v>
      </c>
      <c r="L74">
        <v>32</v>
      </c>
      <c r="M74">
        <v>0.54300000000000004</v>
      </c>
      <c r="N74">
        <v>65536</v>
      </c>
      <c r="O74">
        <v>24012</v>
      </c>
      <c r="P74">
        <v>0.63360000000000005</v>
      </c>
      <c r="Q74">
        <v>68</v>
      </c>
      <c r="R74">
        <v>75.7</v>
      </c>
      <c r="S74" t="b">
        <v>1</v>
      </c>
      <c r="T74">
        <v>0.97142857100000002</v>
      </c>
      <c r="U74">
        <v>72</v>
      </c>
      <c r="V74">
        <f>Table1[[#This Row],[orig_m]]+Table1[[#This Row],[orig_n]]+Table1[[#This Row],[orig_k]]-2</f>
        <v>94</v>
      </c>
      <c r="W74">
        <f>Table1[[#This Row],[Dense Baseline]]-Table1[[#This Row],[cycles]]</f>
        <v>26</v>
      </c>
      <c r="X74">
        <f>(Table1[[#This Row],[eff_macs]]/Table1[[#This Row],[cycles]])*0.07</f>
        <v>24.718235294117651</v>
      </c>
      <c r="Y74">
        <f>(Table1[[#This Row],[orig_macs]]/Table1[[#This Row],[cycles]])*0.07</f>
        <v>67.463529411764711</v>
      </c>
      <c r="Z74">
        <f>(Table1[[#This Row],[Dense-Equivalent Throughput (GOPS)]] / IF(Table1[[#This Row],[config]]=0,144781,7618)) * 1000</f>
        <v>0.4659694946972649</v>
      </c>
      <c r="AA74">
        <f>(Table1[[#This Row],[Dense-Equivalent Throughput (GOPS)]] / 654.74 )/ IF(Table1[[#This Row],[config]]=0, 42381, 7618) * 10^9</f>
        <v>2431.246446934696</v>
      </c>
      <c r="AB74">
        <f>IF(Table1[[#This Row],[config]]=0, 2860, 2210) * (Table1[[#This Row],[cycles]] / 70) / 1000</f>
        <v>2.778285714285714</v>
      </c>
    </row>
    <row r="75" spans="1:28" x14ac:dyDescent="0.25">
      <c r="A75" t="s">
        <v>20</v>
      </c>
      <c r="B75" t="s">
        <v>22</v>
      </c>
      <c r="C75">
        <v>1</v>
      </c>
      <c r="D75">
        <v>26</v>
      </c>
      <c r="E75">
        <v>32</v>
      </c>
      <c r="F75">
        <v>32</v>
      </c>
      <c r="G75">
        <v>32</v>
      </c>
      <c r="H75">
        <v>29</v>
      </c>
      <c r="I75">
        <v>19</v>
      </c>
      <c r="J75">
        <v>18</v>
      </c>
      <c r="K75">
        <v>0</v>
      </c>
      <c r="L75">
        <v>32</v>
      </c>
      <c r="M75">
        <v>0.57809999999999995</v>
      </c>
      <c r="N75">
        <v>65536</v>
      </c>
      <c r="O75">
        <v>19836</v>
      </c>
      <c r="P75">
        <v>0.69730000000000003</v>
      </c>
      <c r="Q75">
        <v>64</v>
      </c>
      <c r="R75">
        <v>111.3</v>
      </c>
      <c r="S75" t="b">
        <v>1</v>
      </c>
      <c r="T75">
        <v>0.91428571400000003</v>
      </c>
      <c r="U75">
        <v>73</v>
      </c>
      <c r="V75">
        <f>Table1[[#This Row],[orig_m]]+Table1[[#This Row],[orig_n]]+Table1[[#This Row],[orig_k]]-2</f>
        <v>94</v>
      </c>
      <c r="W75">
        <f>Table1[[#This Row],[Dense Baseline]]-Table1[[#This Row],[cycles]]</f>
        <v>30</v>
      </c>
      <c r="X75">
        <f>(Table1[[#This Row],[eff_macs]]/Table1[[#This Row],[cycles]])*0.07</f>
        <v>21.695625000000003</v>
      </c>
      <c r="Y75">
        <f>(Table1[[#This Row],[orig_macs]]/Table1[[#This Row],[cycles]])*0.07</f>
        <v>71.680000000000007</v>
      </c>
      <c r="Z75">
        <f>(Table1[[#This Row],[Dense-Equivalent Throughput (GOPS)]] / IF(Table1[[#This Row],[config]]=0,144781,7618)) * 1000</f>
        <v>0.49509258811584395</v>
      </c>
      <c r="AA75">
        <f>(Table1[[#This Row],[Dense-Equivalent Throughput (GOPS)]] / 654.74 )/ IF(Table1[[#This Row],[config]]=0, 42381, 7618) * 10^9</f>
        <v>2583.1993498681145</v>
      </c>
      <c r="AB75">
        <f>IF(Table1[[#This Row],[config]]=0, 2860, 2210) * (Table1[[#This Row],[cycles]] / 70) / 1000</f>
        <v>2.6148571428571428</v>
      </c>
    </row>
    <row r="76" spans="1:28" x14ac:dyDescent="0.25">
      <c r="A76" t="s">
        <v>20</v>
      </c>
      <c r="B76" t="s">
        <v>22</v>
      </c>
      <c r="C76">
        <v>1</v>
      </c>
      <c r="D76">
        <v>27</v>
      </c>
      <c r="E76">
        <v>32</v>
      </c>
      <c r="F76">
        <v>32</v>
      </c>
      <c r="G76">
        <v>32</v>
      </c>
      <c r="H76">
        <v>29</v>
      </c>
      <c r="I76">
        <v>17</v>
      </c>
      <c r="J76">
        <v>18</v>
      </c>
      <c r="K76">
        <v>0</v>
      </c>
      <c r="L76">
        <v>32</v>
      </c>
      <c r="M76">
        <v>0.59570000000000001</v>
      </c>
      <c r="N76">
        <v>65536</v>
      </c>
      <c r="O76">
        <v>17748</v>
      </c>
      <c r="P76">
        <v>0.72919999999999996</v>
      </c>
      <c r="Q76">
        <v>62</v>
      </c>
      <c r="R76">
        <v>115.1</v>
      </c>
      <c r="S76" t="b">
        <v>1</v>
      </c>
      <c r="T76">
        <v>0.88571428600000002</v>
      </c>
      <c r="U76">
        <v>74</v>
      </c>
      <c r="V76">
        <f>Table1[[#This Row],[orig_m]]+Table1[[#This Row],[orig_n]]+Table1[[#This Row],[orig_k]]-2</f>
        <v>94</v>
      </c>
      <c r="W76">
        <f>Table1[[#This Row],[Dense Baseline]]-Table1[[#This Row],[cycles]]</f>
        <v>32</v>
      </c>
      <c r="X76">
        <f>(Table1[[#This Row],[eff_macs]]/Table1[[#This Row],[cycles]])*0.07</f>
        <v>20.038064516129033</v>
      </c>
      <c r="Y76">
        <f>(Table1[[#This Row],[orig_macs]]/Table1[[#This Row],[cycles]])*0.07</f>
        <v>73.992258064516136</v>
      </c>
      <c r="Z76">
        <f>(Table1[[#This Row],[Dense-Equivalent Throughput (GOPS)]] / IF(Table1[[#This Row],[config]]=0,144781,7618)) * 1000</f>
        <v>0.51106331676474215</v>
      </c>
      <c r="AA76">
        <f>(Table1[[#This Row],[Dense-Equivalent Throughput (GOPS)]] / 654.74 )/ IF(Table1[[#This Row],[config]]=0, 42381, 7618) * 10^9</f>
        <v>2666.5283611541827</v>
      </c>
      <c r="AB76">
        <f>IF(Table1[[#This Row],[config]]=0, 2860, 2210) * (Table1[[#This Row],[cycles]] / 70) / 1000</f>
        <v>2.5331428571428569</v>
      </c>
    </row>
    <row r="77" spans="1:28" x14ac:dyDescent="0.25">
      <c r="A77" t="s">
        <v>20</v>
      </c>
      <c r="B77" t="s">
        <v>22</v>
      </c>
      <c r="C77">
        <v>1</v>
      </c>
      <c r="D77">
        <v>28</v>
      </c>
      <c r="E77">
        <v>32</v>
      </c>
      <c r="F77">
        <v>32</v>
      </c>
      <c r="G77">
        <v>32</v>
      </c>
      <c r="H77">
        <v>29</v>
      </c>
      <c r="I77">
        <v>13</v>
      </c>
      <c r="J77">
        <v>18</v>
      </c>
      <c r="K77">
        <v>0</v>
      </c>
      <c r="L77">
        <v>32</v>
      </c>
      <c r="M77">
        <v>0.63090000000000002</v>
      </c>
      <c r="N77">
        <v>65536</v>
      </c>
      <c r="O77">
        <v>13572</v>
      </c>
      <c r="P77">
        <v>0.79290000000000005</v>
      </c>
      <c r="Q77">
        <v>58</v>
      </c>
      <c r="R77">
        <v>102.6</v>
      </c>
      <c r="S77" t="b">
        <v>1</v>
      </c>
      <c r="T77">
        <v>0.82857142900000003</v>
      </c>
      <c r="U77">
        <v>75</v>
      </c>
      <c r="V77">
        <f>Table1[[#This Row],[orig_m]]+Table1[[#This Row],[orig_n]]+Table1[[#This Row],[orig_k]]-2</f>
        <v>94</v>
      </c>
      <c r="W77">
        <f>Table1[[#This Row],[Dense Baseline]]-Table1[[#This Row],[cycles]]</f>
        <v>36</v>
      </c>
      <c r="X77">
        <f>(Table1[[#This Row],[eff_macs]]/Table1[[#This Row],[cycles]])*0.07</f>
        <v>16.380000000000003</v>
      </c>
      <c r="Y77">
        <f>(Table1[[#This Row],[orig_macs]]/Table1[[#This Row],[cycles]])*0.07</f>
        <v>79.095172413793108</v>
      </c>
      <c r="Z77">
        <f>(Table1[[#This Row],[Dense-Equivalent Throughput (GOPS)]] / IF(Table1[[#This Row],[config]]=0,144781,7618)) * 1000</f>
        <v>0.54630906274851743</v>
      </c>
      <c r="AA77">
        <f>(Table1[[#This Row],[Dense-Equivalent Throughput (GOPS)]] / 654.74 )/ IF(Table1[[#This Row],[config]]=0, 42381, 7618) * 10^9</f>
        <v>2850.4268688199882</v>
      </c>
      <c r="AB77">
        <f>IF(Table1[[#This Row],[config]]=0, 2860, 2210) * (Table1[[#This Row],[cycles]] / 70) / 1000</f>
        <v>2.3697142857142857</v>
      </c>
    </row>
    <row r="78" spans="1:28" x14ac:dyDescent="0.25">
      <c r="A78" t="s">
        <v>20</v>
      </c>
      <c r="B78" t="s">
        <v>22</v>
      </c>
      <c r="C78">
        <v>1</v>
      </c>
      <c r="D78">
        <v>29</v>
      </c>
      <c r="E78">
        <v>32</v>
      </c>
      <c r="F78">
        <v>32</v>
      </c>
      <c r="G78">
        <v>32</v>
      </c>
      <c r="H78">
        <v>29</v>
      </c>
      <c r="I78">
        <v>21</v>
      </c>
      <c r="J78">
        <v>18</v>
      </c>
      <c r="K78">
        <v>0</v>
      </c>
      <c r="L78">
        <v>32</v>
      </c>
      <c r="M78">
        <v>0.5605</v>
      </c>
      <c r="N78">
        <v>65536</v>
      </c>
      <c r="O78">
        <v>21924</v>
      </c>
      <c r="P78">
        <v>0.66549999999999998</v>
      </c>
      <c r="Q78">
        <v>66</v>
      </c>
      <c r="R78">
        <v>50.3</v>
      </c>
      <c r="S78" t="b">
        <v>1</v>
      </c>
      <c r="T78">
        <v>0.94285714300000001</v>
      </c>
      <c r="U78">
        <v>76</v>
      </c>
      <c r="V78">
        <f>Table1[[#This Row],[orig_m]]+Table1[[#This Row],[orig_n]]+Table1[[#This Row],[orig_k]]-2</f>
        <v>94</v>
      </c>
      <c r="W78">
        <f>Table1[[#This Row],[Dense Baseline]]-Table1[[#This Row],[cycles]]</f>
        <v>28</v>
      </c>
      <c r="X78">
        <f>(Table1[[#This Row],[eff_macs]]/Table1[[#This Row],[cycles]])*0.07</f>
        <v>23.252727272727274</v>
      </c>
      <c r="Y78">
        <f>(Table1[[#This Row],[orig_macs]]/Table1[[#This Row],[cycles]])*0.07</f>
        <v>69.507878787878795</v>
      </c>
      <c r="Z78">
        <f>(Table1[[#This Row],[Dense-Equivalent Throughput (GOPS)]] / IF(Table1[[#This Row],[config]]=0,144781,7618)) * 1000</f>
        <v>0.48008978241536382</v>
      </c>
      <c r="AA78">
        <f>(Table1[[#This Row],[Dense-Equivalent Throughput (GOPS)]] / 654.74 )/ IF(Table1[[#This Row],[config]]=0, 42381, 7618) * 10^9</f>
        <v>2504.9205816902927</v>
      </c>
      <c r="AB78">
        <f>IF(Table1[[#This Row],[config]]=0, 2860, 2210) * (Table1[[#This Row],[cycles]] / 70) / 1000</f>
        <v>2.6965714285714286</v>
      </c>
    </row>
    <row r="79" spans="1:28" x14ac:dyDescent="0.25">
      <c r="A79" t="s">
        <v>20</v>
      </c>
      <c r="B79" t="s">
        <v>22</v>
      </c>
      <c r="C79">
        <v>1</v>
      </c>
      <c r="D79">
        <v>30</v>
      </c>
      <c r="E79">
        <v>32</v>
      </c>
      <c r="F79">
        <v>32</v>
      </c>
      <c r="G79">
        <v>32</v>
      </c>
      <c r="H79">
        <v>29</v>
      </c>
      <c r="I79">
        <v>17</v>
      </c>
      <c r="J79">
        <v>18</v>
      </c>
      <c r="K79">
        <v>0</v>
      </c>
      <c r="L79">
        <v>32</v>
      </c>
      <c r="M79">
        <v>0.59570000000000001</v>
      </c>
      <c r="N79">
        <v>65536</v>
      </c>
      <c r="O79">
        <v>17748</v>
      </c>
      <c r="P79">
        <v>0.72919999999999996</v>
      </c>
      <c r="Q79">
        <v>62</v>
      </c>
      <c r="R79">
        <v>49.6</v>
      </c>
      <c r="S79" t="b">
        <v>1</v>
      </c>
      <c r="T79">
        <v>0.88571428600000002</v>
      </c>
      <c r="U79">
        <v>77</v>
      </c>
      <c r="V79">
        <f>Table1[[#This Row],[orig_m]]+Table1[[#This Row],[orig_n]]+Table1[[#This Row],[orig_k]]-2</f>
        <v>94</v>
      </c>
      <c r="W79">
        <f>Table1[[#This Row],[Dense Baseline]]-Table1[[#This Row],[cycles]]</f>
        <v>32</v>
      </c>
      <c r="X79">
        <f>(Table1[[#This Row],[eff_macs]]/Table1[[#This Row],[cycles]])*0.07</f>
        <v>20.038064516129033</v>
      </c>
      <c r="Y79">
        <f>(Table1[[#This Row],[orig_macs]]/Table1[[#This Row],[cycles]])*0.07</f>
        <v>73.992258064516136</v>
      </c>
      <c r="Z79">
        <f>(Table1[[#This Row],[Dense-Equivalent Throughput (GOPS)]] / IF(Table1[[#This Row],[config]]=0,144781,7618)) * 1000</f>
        <v>0.51106331676474215</v>
      </c>
      <c r="AA79">
        <f>(Table1[[#This Row],[Dense-Equivalent Throughput (GOPS)]] / 654.74 )/ IF(Table1[[#This Row],[config]]=0, 42381, 7618) * 10^9</f>
        <v>2666.5283611541827</v>
      </c>
      <c r="AB79">
        <f>IF(Table1[[#This Row],[config]]=0, 2860, 2210) * (Table1[[#This Row],[cycles]] / 70) / 1000</f>
        <v>2.5331428571428569</v>
      </c>
    </row>
    <row r="80" spans="1:28" x14ac:dyDescent="0.25">
      <c r="A80" t="s">
        <v>20</v>
      </c>
      <c r="B80" t="s">
        <v>22</v>
      </c>
      <c r="C80">
        <v>1</v>
      </c>
      <c r="D80">
        <v>31</v>
      </c>
      <c r="E80">
        <v>32</v>
      </c>
      <c r="F80">
        <v>32</v>
      </c>
      <c r="G80">
        <v>32</v>
      </c>
      <c r="H80">
        <v>29</v>
      </c>
      <c r="I80">
        <v>18</v>
      </c>
      <c r="J80">
        <v>18</v>
      </c>
      <c r="K80">
        <v>0</v>
      </c>
      <c r="L80">
        <v>32</v>
      </c>
      <c r="M80">
        <v>0.58689999999999998</v>
      </c>
      <c r="N80">
        <v>65536</v>
      </c>
      <c r="O80">
        <v>18792</v>
      </c>
      <c r="P80">
        <v>0.71330000000000005</v>
      </c>
      <c r="Q80">
        <v>63</v>
      </c>
      <c r="R80">
        <v>48.9</v>
      </c>
      <c r="S80" t="b">
        <v>1</v>
      </c>
      <c r="T80">
        <v>0.9</v>
      </c>
      <c r="U80">
        <v>78</v>
      </c>
      <c r="V80">
        <f>Table1[[#This Row],[orig_m]]+Table1[[#This Row],[orig_n]]+Table1[[#This Row],[orig_k]]-2</f>
        <v>94</v>
      </c>
      <c r="W80">
        <f>Table1[[#This Row],[Dense Baseline]]-Table1[[#This Row],[cycles]]</f>
        <v>31</v>
      </c>
      <c r="X80">
        <f>(Table1[[#This Row],[eff_macs]]/Table1[[#This Row],[cycles]])*0.07</f>
        <v>20.880000000000003</v>
      </c>
      <c r="Y80">
        <f>(Table1[[#This Row],[orig_macs]]/Table1[[#This Row],[cycles]])*0.07</f>
        <v>72.817777777777778</v>
      </c>
      <c r="Z80">
        <f>(Table1[[#This Row],[Dense-Equivalent Throughput (GOPS)]] / IF(Table1[[#This Row],[config]]=0,144781,7618)) * 1000</f>
        <v>0.50295120062561927</v>
      </c>
      <c r="AA80">
        <f>(Table1[[#This Row],[Dense-Equivalent Throughput (GOPS)]] / 654.74 )/ IF(Table1[[#This Row],[config]]=0, 42381, 7618) * 10^9</f>
        <v>2624.2025141517352</v>
      </c>
      <c r="AB80">
        <f>IF(Table1[[#This Row],[config]]=0, 2860, 2210) * (Table1[[#This Row],[cycles]] / 70) / 1000</f>
        <v>2.5739999999999998</v>
      </c>
    </row>
    <row r="81" spans="1:28" x14ac:dyDescent="0.25">
      <c r="A81" t="s">
        <v>20</v>
      </c>
      <c r="B81" t="s">
        <v>22</v>
      </c>
      <c r="C81">
        <v>1</v>
      </c>
      <c r="D81">
        <v>32</v>
      </c>
      <c r="E81">
        <v>32</v>
      </c>
      <c r="F81">
        <v>32</v>
      </c>
      <c r="G81">
        <v>32</v>
      </c>
      <c r="H81">
        <v>29</v>
      </c>
      <c r="I81">
        <v>13</v>
      </c>
      <c r="J81">
        <v>18</v>
      </c>
      <c r="K81">
        <v>0</v>
      </c>
      <c r="L81">
        <v>32</v>
      </c>
      <c r="M81">
        <v>0.63090000000000002</v>
      </c>
      <c r="N81">
        <v>65536</v>
      </c>
      <c r="O81">
        <v>13572</v>
      </c>
      <c r="P81">
        <v>0.79290000000000005</v>
      </c>
      <c r="Q81">
        <v>58</v>
      </c>
      <c r="R81">
        <v>60.2</v>
      </c>
      <c r="S81" t="b">
        <v>1</v>
      </c>
      <c r="T81">
        <v>0.82857142900000003</v>
      </c>
      <c r="U81">
        <v>79</v>
      </c>
      <c r="V81">
        <f>Table1[[#This Row],[orig_m]]+Table1[[#This Row],[orig_n]]+Table1[[#This Row],[orig_k]]-2</f>
        <v>94</v>
      </c>
      <c r="W81">
        <f>Table1[[#This Row],[Dense Baseline]]-Table1[[#This Row],[cycles]]</f>
        <v>36</v>
      </c>
      <c r="X81">
        <f>(Table1[[#This Row],[eff_macs]]/Table1[[#This Row],[cycles]])*0.07</f>
        <v>16.380000000000003</v>
      </c>
      <c r="Y81">
        <f>(Table1[[#This Row],[orig_macs]]/Table1[[#This Row],[cycles]])*0.07</f>
        <v>79.095172413793108</v>
      </c>
      <c r="Z81">
        <f>(Table1[[#This Row],[Dense-Equivalent Throughput (GOPS)]] / IF(Table1[[#This Row],[config]]=0,144781,7618)) * 1000</f>
        <v>0.54630906274851743</v>
      </c>
      <c r="AA81">
        <f>(Table1[[#This Row],[Dense-Equivalent Throughput (GOPS)]] / 654.74 )/ IF(Table1[[#This Row],[config]]=0, 42381, 7618) * 10^9</f>
        <v>2850.4268688199882</v>
      </c>
      <c r="AB81">
        <f>IF(Table1[[#This Row],[config]]=0, 2860, 2210) * (Table1[[#This Row],[cycles]] / 70) / 1000</f>
        <v>2.3697142857142857</v>
      </c>
    </row>
    <row r="82" spans="1:28" x14ac:dyDescent="0.25">
      <c r="A82" t="s">
        <v>20</v>
      </c>
      <c r="B82" t="s">
        <v>22</v>
      </c>
      <c r="C82">
        <v>1</v>
      </c>
      <c r="D82">
        <v>33</v>
      </c>
      <c r="E82">
        <v>32</v>
      </c>
      <c r="F82">
        <v>32</v>
      </c>
      <c r="G82">
        <v>32</v>
      </c>
      <c r="H82">
        <v>32</v>
      </c>
      <c r="I82">
        <v>23</v>
      </c>
      <c r="J82">
        <v>18</v>
      </c>
      <c r="K82">
        <v>0</v>
      </c>
      <c r="L82">
        <v>32</v>
      </c>
      <c r="M82">
        <v>0.51659999999999995</v>
      </c>
      <c r="N82">
        <v>65536</v>
      </c>
      <c r="O82">
        <v>26496</v>
      </c>
      <c r="P82">
        <v>0.59570000000000001</v>
      </c>
      <c r="Q82">
        <v>71</v>
      </c>
      <c r="R82">
        <v>70.099999999999994</v>
      </c>
      <c r="S82" t="b">
        <v>1</v>
      </c>
      <c r="T82">
        <v>1.0142857139999999</v>
      </c>
      <c r="U82">
        <v>80</v>
      </c>
      <c r="V82">
        <f>Table1[[#This Row],[orig_m]]+Table1[[#This Row],[orig_n]]+Table1[[#This Row],[orig_k]]-2</f>
        <v>94</v>
      </c>
      <c r="W82">
        <f>Table1[[#This Row],[Dense Baseline]]-Table1[[#This Row],[cycles]]</f>
        <v>23</v>
      </c>
      <c r="X82">
        <f>(Table1[[#This Row],[eff_macs]]/Table1[[#This Row],[cycles]])*0.07</f>
        <v>26.122816901408456</v>
      </c>
      <c r="Y82">
        <f>(Table1[[#This Row],[orig_macs]]/Table1[[#This Row],[cycles]])*0.07</f>
        <v>64.612957746478884</v>
      </c>
      <c r="Z82">
        <f>(Table1[[#This Row],[Dense-Equivalent Throughput (GOPS)]] / IF(Table1[[#This Row],[config]]=0,144781,7618)) * 1000</f>
        <v>0.4462806428086481</v>
      </c>
      <c r="AA82">
        <f>(Table1[[#This Row],[Dense-Equivalent Throughput (GOPS)]] / 654.74 )/ IF(Table1[[#This Row],[config]]=0, 42381, 7618) * 10^9</f>
        <v>2328.5177238247798</v>
      </c>
      <c r="AB82">
        <f>IF(Table1[[#This Row],[config]]=0, 2860, 2210) * (Table1[[#This Row],[cycles]] / 70) / 1000</f>
        <v>2.9008571428571428</v>
      </c>
    </row>
    <row r="83" spans="1:28" x14ac:dyDescent="0.25">
      <c r="A83" t="s">
        <v>20</v>
      </c>
      <c r="B83" t="s">
        <v>22</v>
      </c>
      <c r="C83">
        <v>1</v>
      </c>
      <c r="D83">
        <v>34</v>
      </c>
      <c r="E83">
        <v>32</v>
      </c>
      <c r="F83">
        <v>32</v>
      </c>
      <c r="G83">
        <v>32</v>
      </c>
      <c r="H83">
        <v>32</v>
      </c>
      <c r="I83">
        <v>19</v>
      </c>
      <c r="J83">
        <v>18</v>
      </c>
      <c r="K83">
        <v>0</v>
      </c>
      <c r="L83">
        <v>32</v>
      </c>
      <c r="M83">
        <v>0.55179999999999996</v>
      </c>
      <c r="N83">
        <v>65536</v>
      </c>
      <c r="O83">
        <v>21888</v>
      </c>
      <c r="P83">
        <v>0.66600000000000004</v>
      </c>
      <c r="Q83">
        <v>67</v>
      </c>
      <c r="R83">
        <v>41.2</v>
      </c>
      <c r="S83" t="b">
        <v>1</v>
      </c>
      <c r="T83">
        <v>0.95714285700000001</v>
      </c>
      <c r="U83">
        <v>81</v>
      </c>
      <c r="V83">
        <f>Table1[[#This Row],[orig_m]]+Table1[[#This Row],[orig_n]]+Table1[[#This Row],[orig_k]]-2</f>
        <v>94</v>
      </c>
      <c r="W83">
        <f>Table1[[#This Row],[Dense Baseline]]-Table1[[#This Row],[cycles]]</f>
        <v>27</v>
      </c>
      <c r="X83">
        <f>(Table1[[#This Row],[eff_macs]]/Table1[[#This Row],[cycles]])*0.07</f>
        <v>22.868059701492541</v>
      </c>
      <c r="Y83">
        <f>(Table1[[#This Row],[orig_macs]]/Table1[[#This Row],[cycles]])*0.07</f>
        <v>68.470447761194038</v>
      </c>
      <c r="Z83">
        <f>(Table1[[#This Row],[Dense-Equivalent Throughput (GOPS)]] / IF(Table1[[#This Row],[config]]=0,144781,7618)) * 1000</f>
        <v>0.47292426327483605</v>
      </c>
      <c r="AA83">
        <f>(Table1[[#This Row],[Dense-Equivalent Throughput (GOPS)]] / 654.74 )/ IF(Table1[[#This Row],[config]]=0, 42381, 7618) * 10^9</f>
        <v>2467.5337073367064</v>
      </c>
      <c r="AB83">
        <f>IF(Table1[[#This Row],[config]]=0, 2860, 2210) * (Table1[[#This Row],[cycles]] / 70) / 1000</f>
        <v>2.7374285714285715</v>
      </c>
    </row>
    <row r="84" spans="1:28" x14ac:dyDescent="0.25">
      <c r="A84" t="s">
        <v>20</v>
      </c>
      <c r="B84" t="s">
        <v>22</v>
      </c>
      <c r="C84">
        <v>1</v>
      </c>
      <c r="D84">
        <v>35</v>
      </c>
      <c r="E84">
        <v>32</v>
      </c>
      <c r="F84">
        <v>32</v>
      </c>
      <c r="G84">
        <v>32</v>
      </c>
      <c r="H84">
        <v>32</v>
      </c>
      <c r="I84">
        <v>17</v>
      </c>
      <c r="J84">
        <v>18</v>
      </c>
      <c r="K84">
        <v>0</v>
      </c>
      <c r="L84">
        <v>32</v>
      </c>
      <c r="M84">
        <v>0.56930000000000003</v>
      </c>
      <c r="N84">
        <v>65536</v>
      </c>
      <c r="O84">
        <v>19584</v>
      </c>
      <c r="P84">
        <v>0.70120000000000005</v>
      </c>
      <c r="Q84">
        <v>65</v>
      </c>
      <c r="R84">
        <v>139.69999999999999</v>
      </c>
      <c r="S84" t="b">
        <v>1</v>
      </c>
      <c r="T84">
        <v>0.928571429</v>
      </c>
      <c r="U84">
        <v>82</v>
      </c>
      <c r="V84">
        <f>Table1[[#This Row],[orig_m]]+Table1[[#This Row],[orig_n]]+Table1[[#This Row],[orig_k]]-2</f>
        <v>94</v>
      </c>
      <c r="W84">
        <f>Table1[[#This Row],[Dense Baseline]]-Table1[[#This Row],[cycles]]</f>
        <v>29</v>
      </c>
      <c r="X84">
        <f>(Table1[[#This Row],[eff_macs]]/Table1[[#This Row],[cycles]])*0.07</f>
        <v>21.09046153846154</v>
      </c>
      <c r="Y84">
        <f>(Table1[[#This Row],[orig_macs]]/Table1[[#This Row],[cycles]])*0.07</f>
        <v>70.577230769230781</v>
      </c>
      <c r="Z84">
        <f>(Table1[[#This Row],[Dense-Equivalent Throughput (GOPS)]] / IF(Table1[[#This Row],[config]]=0,144781,7618)) * 1000</f>
        <v>0.48747577906790795</v>
      </c>
      <c r="AA84">
        <f>(Table1[[#This Row],[Dense-Equivalent Throughput (GOPS)]] / 654.74 )/ IF(Table1[[#This Row],[config]]=0, 42381, 7618) * 10^9</f>
        <v>2543.457821408605</v>
      </c>
      <c r="AB84">
        <f>IF(Table1[[#This Row],[config]]=0, 2860, 2210) * (Table1[[#This Row],[cycles]] / 70) / 1000</f>
        <v>2.6557142857142857</v>
      </c>
    </row>
    <row r="85" spans="1:28" x14ac:dyDescent="0.25">
      <c r="A85" t="s">
        <v>20</v>
      </c>
      <c r="B85" t="s">
        <v>22</v>
      </c>
      <c r="C85">
        <v>1</v>
      </c>
      <c r="D85">
        <v>36</v>
      </c>
      <c r="E85">
        <v>32</v>
      </c>
      <c r="F85">
        <v>32</v>
      </c>
      <c r="G85">
        <v>32</v>
      </c>
      <c r="H85">
        <v>32</v>
      </c>
      <c r="I85">
        <v>13</v>
      </c>
      <c r="J85">
        <v>18</v>
      </c>
      <c r="K85">
        <v>0</v>
      </c>
      <c r="L85">
        <v>32</v>
      </c>
      <c r="M85">
        <v>0.60450000000000004</v>
      </c>
      <c r="N85">
        <v>65536</v>
      </c>
      <c r="O85">
        <v>14976</v>
      </c>
      <c r="P85">
        <v>0.77149999999999996</v>
      </c>
      <c r="Q85">
        <v>61</v>
      </c>
      <c r="R85">
        <v>113.2</v>
      </c>
      <c r="S85" t="b">
        <v>1</v>
      </c>
      <c r="T85">
        <v>0.87142857100000004</v>
      </c>
      <c r="U85">
        <v>83</v>
      </c>
      <c r="V85">
        <f>Table1[[#This Row],[orig_m]]+Table1[[#This Row],[orig_n]]+Table1[[#This Row],[orig_k]]-2</f>
        <v>94</v>
      </c>
      <c r="W85">
        <f>Table1[[#This Row],[Dense Baseline]]-Table1[[#This Row],[cycles]]</f>
        <v>33</v>
      </c>
      <c r="X85">
        <f>(Table1[[#This Row],[eff_macs]]/Table1[[#This Row],[cycles]])*0.07</f>
        <v>17.185573770491803</v>
      </c>
      <c r="Y85">
        <f>(Table1[[#This Row],[orig_macs]]/Table1[[#This Row],[cycles]])*0.07</f>
        <v>75.205245901639358</v>
      </c>
      <c r="Z85">
        <f>(Table1[[#This Row],[Dense-Equivalent Throughput (GOPS)]] / IF(Table1[[#This Row],[config]]=0,144781,7618)) * 1000</f>
        <v>0.51944140392481997</v>
      </c>
      <c r="AA85">
        <f>(Table1[[#This Row],[Dense-Equivalent Throughput (GOPS)]] / 654.74 )/ IF(Table1[[#This Row],[config]]=0, 42381, 7618) * 10^9</f>
        <v>2710.2419408452347</v>
      </c>
      <c r="AB85">
        <f>IF(Table1[[#This Row],[config]]=0, 2860, 2210) * (Table1[[#This Row],[cycles]] / 70) / 1000</f>
        <v>2.4922857142857144</v>
      </c>
    </row>
    <row r="86" spans="1:28" x14ac:dyDescent="0.25">
      <c r="A86" t="s">
        <v>20</v>
      </c>
      <c r="B86" t="s">
        <v>22</v>
      </c>
      <c r="C86">
        <v>1</v>
      </c>
      <c r="D86">
        <v>37</v>
      </c>
      <c r="E86">
        <v>32</v>
      </c>
      <c r="F86">
        <v>32</v>
      </c>
      <c r="G86">
        <v>32</v>
      </c>
      <c r="H86">
        <v>32</v>
      </c>
      <c r="I86">
        <v>21</v>
      </c>
      <c r="J86">
        <v>18</v>
      </c>
      <c r="K86">
        <v>0</v>
      </c>
      <c r="L86">
        <v>32</v>
      </c>
      <c r="M86">
        <v>0.53420000000000001</v>
      </c>
      <c r="N86">
        <v>65536</v>
      </c>
      <c r="O86">
        <v>24192</v>
      </c>
      <c r="P86">
        <v>0.63090000000000002</v>
      </c>
      <c r="Q86">
        <v>69</v>
      </c>
      <c r="R86">
        <v>45.9</v>
      </c>
      <c r="S86" t="b">
        <v>1</v>
      </c>
      <c r="T86">
        <v>0.985714286</v>
      </c>
      <c r="U86">
        <v>84</v>
      </c>
      <c r="V86">
        <f>Table1[[#This Row],[orig_m]]+Table1[[#This Row],[orig_n]]+Table1[[#This Row],[orig_k]]-2</f>
        <v>94</v>
      </c>
      <c r="W86">
        <f>Table1[[#This Row],[Dense Baseline]]-Table1[[#This Row],[cycles]]</f>
        <v>25</v>
      </c>
      <c r="X86">
        <f>(Table1[[#This Row],[eff_macs]]/Table1[[#This Row],[cycles]])*0.07</f>
        <v>24.542608695652177</v>
      </c>
      <c r="Y86">
        <f>(Table1[[#This Row],[orig_macs]]/Table1[[#This Row],[cycles]])*0.07</f>
        <v>66.485797101449279</v>
      </c>
      <c r="Z86">
        <f>(Table1[[#This Row],[Dense-Equivalent Throughput (GOPS)]] / IF(Table1[[#This Row],[config]]=0,144781,7618)) * 1000</f>
        <v>0.45921631361469584</v>
      </c>
      <c r="AA86">
        <f>(Table1[[#This Row],[Dense-Equivalent Throughput (GOPS)]] / 654.74 )/ IF(Table1[[#This Row],[config]]=0, 42381, 7618) * 10^9</f>
        <v>2396.0109911820191</v>
      </c>
      <c r="AB86">
        <f>IF(Table1[[#This Row],[config]]=0, 2860, 2210) * (Table1[[#This Row],[cycles]] / 70) / 1000</f>
        <v>2.8191428571428574</v>
      </c>
    </row>
    <row r="87" spans="1:28" x14ac:dyDescent="0.25">
      <c r="A87" t="s">
        <v>20</v>
      </c>
      <c r="B87" t="s">
        <v>22</v>
      </c>
      <c r="C87">
        <v>1</v>
      </c>
      <c r="D87">
        <v>38</v>
      </c>
      <c r="E87">
        <v>32</v>
      </c>
      <c r="F87">
        <v>32</v>
      </c>
      <c r="G87">
        <v>32</v>
      </c>
      <c r="H87">
        <v>32</v>
      </c>
      <c r="I87">
        <v>17</v>
      </c>
      <c r="J87">
        <v>18</v>
      </c>
      <c r="K87">
        <v>0</v>
      </c>
      <c r="L87">
        <v>32</v>
      </c>
      <c r="M87">
        <v>0.56930000000000003</v>
      </c>
      <c r="N87">
        <v>65536</v>
      </c>
      <c r="O87">
        <v>19584</v>
      </c>
      <c r="P87">
        <v>0.70120000000000005</v>
      </c>
      <c r="Q87">
        <v>65</v>
      </c>
      <c r="R87">
        <v>50.1</v>
      </c>
      <c r="S87" t="b">
        <v>1</v>
      </c>
      <c r="T87">
        <v>0.928571429</v>
      </c>
      <c r="U87">
        <v>85</v>
      </c>
      <c r="V87">
        <f>Table1[[#This Row],[orig_m]]+Table1[[#This Row],[orig_n]]+Table1[[#This Row],[orig_k]]-2</f>
        <v>94</v>
      </c>
      <c r="W87">
        <f>Table1[[#This Row],[Dense Baseline]]-Table1[[#This Row],[cycles]]</f>
        <v>29</v>
      </c>
      <c r="X87">
        <f>(Table1[[#This Row],[eff_macs]]/Table1[[#This Row],[cycles]])*0.07</f>
        <v>21.09046153846154</v>
      </c>
      <c r="Y87">
        <f>(Table1[[#This Row],[orig_macs]]/Table1[[#This Row],[cycles]])*0.07</f>
        <v>70.577230769230781</v>
      </c>
      <c r="Z87">
        <f>(Table1[[#This Row],[Dense-Equivalent Throughput (GOPS)]] / IF(Table1[[#This Row],[config]]=0,144781,7618)) * 1000</f>
        <v>0.48747577906790795</v>
      </c>
      <c r="AA87">
        <f>(Table1[[#This Row],[Dense-Equivalent Throughput (GOPS)]] / 654.74 )/ IF(Table1[[#This Row],[config]]=0, 42381, 7618) * 10^9</f>
        <v>2543.457821408605</v>
      </c>
      <c r="AB87">
        <f>IF(Table1[[#This Row],[config]]=0, 2860, 2210) * (Table1[[#This Row],[cycles]] / 70) / 1000</f>
        <v>2.6557142857142857</v>
      </c>
    </row>
    <row r="88" spans="1:28" x14ac:dyDescent="0.25">
      <c r="A88" t="s">
        <v>20</v>
      </c>
      <c r="B88" t="s">
        <v>22</v>
      </c>
      <c r="C88">
        <v>1</v>
      </c>
      <c r="D88">
        <v>39</v>
      </c>
      <c r="E88">
        <v>32</v>
      </c>
      <c r="F88">
        <v>32</v>
      </c>
      <c r="G88">
        <v>32</v>
      </c>
      <c r="H88">
        <v>32</v>
      </c>
      <c r="I88">
        <v>18</v>
      </c>
      <c r="J88">
        <v>18</v>
      </c>
      <c r="K88">
        <v>0</v>
      </c>
      <c r="L88">
        <v>32</v>
      </c>
      <c r="M88">
        <v>0.5605</v>
      </c>
      <c r="N88">
        <v>65536</v>
      </c>
      <c r="O88">
        <v>20736</v>
      </c>
      <c r="P88">
        <v>0.68359999999999999</v>
      </c>
      <c r="Q88">
        <v>66</v>
      </c>
      <c r="R88">
        <v>47.7</v>
      </c>
      <c r="S88" t="b">
        <v>1</v>
      </c>
      <c r="T88">
        <v>0.94285714300000001</v>
      </c>
      <c r="U88">
        <v>86</v>
      </c>
      <c r="V88">
        <f>Table1[[#This Row],[orig_m]]+Table1[[#This Row],[orig_n]]+Table1[[#This Row],[orig_k]]-2</f>
        <v>94</v>
      </c>
      <c r="W88">
        <f>Table1[[#This Row],[Dense Baseline]]-Table1[[#This Row],[cycles]]</f>
        <v>28</v>
      </c>
      <c r="X88">
        <f>(Table1[[#This Row],[eff_macs]]/Table1[[#This Row],[cycles]])*0.07</f>
        <v>21.992727272727276</v>
      </c>
      <c r="Y88">
        <f>(Table1[[#This Row],[orig_macs]]/Table1[[#This Row],[cycles]])*0.07</f>
        <v>69.507878787878795</v>
      </c>
      <c r="Z88">
        <f>(Table1[[#This Row],[Dense-Equivalent Throughput (GOPS)]] / IF(Table1[[#This Row],[config]]=0,144781,7618)) * 1000</f>
        <v>0.48008978241536382</v>
      </c>
      <c r="AA88">
        <f>(Table1[[#This Row],[Dense-Equivalent Throughput (GOPS)]] / 654.74 )/ IF(Table1[[#This Row],[config]]=0, 42381, 7618) * 10^9</f>
        <v>2504.9205816902927</v>
      </c>
      <c r="AB88">
        <f>IF(Table1[[#This Row],[config]]=0, 2860, 2210) * (Table1[[#This Row],[cycles]] / 70) / 1000</f>
        <v>2.6965714285714286</v>
      </c>
    </row>
    <row r="89" spans="1:28" x14ac:dyDescent="0.25">
      <c r="A89" t="s">
        <v>20</v>
      </c>
      <c r="B89" t="s">
        <v>22</v>
      </c>
      <c r="C89">
        <v>1</v>
      </c>
      <c r="D89">
        <v>40</v>
      </c>
      <c r="E89">
        <v>32</v>
      </c>
      <c r="F89">
        <v>32</v>
      </c>
      <c r="G89">
        <v>32</v>
      </c>
      <c r="H89">
        <v>32</v>
      </c>
      <c r="I89">
        <v>13</v>
      </c>
      <c r="J89">
        <v>18</v>
      </c>
      <c r="K89">
        <v>0</v>
      </c>
      <c r="L89">
        <v>32</v>
      </c>
      <c r="M89">
        <v>0.60450000000000004</v>
      </c>
      <c r="N89">
        <v>65536</v>
      </c>
      <c r="O89">
        <v>14976</v>
      </c>
      <c r="P89">
        <v>0.77149999999999996</v>
      </c>
      <c r="Q89">
        <v>61</v>
      </c>
      <c r="R89">
        <v>50.1</v>
      </c>
      <c r="S89" t="b">
        <v>1</v>
      </c>
      <c r="T89">
        <v>0.87142857100000004</v>
      </c>
      <c r="U89">
        <v>87</v>
      </c>
      <c r="V89">
        <f>Table1[[#This Row],[orig_m]]+Table1[[#This Row],[orig_n]]+Table1[[#This Row],[orig_k]]-2</f>
        <v>94</v>
      </c>
      <c r="W89">
        <f>Table1[[#This Row],[Dense Baseline]]-Table1[[#This Row],[cycles]]</f>
        <v>33</v>
      </c>
      <c r="X89">
        <f>(Table1[[#This Row],[eff_macs]]/Table1[[#This Row],[cycles]])*0.07</f>
        <v>17.185573770491803</v>
      </c>
      <c r="Y89">
        <f>(Table1[[#This Row],[orig_macs]]/Table1[[#This Row],[cycles]])*0.07</f>
        <v>75.205245901639358</v>
      </c>
      <c r="Z89">
        <f>(Table1[[#This Row],[Dense-Equivalent Throughput (GOPS)]] / IF(Table1[[#This Row],[config]]=0,144781,7618)) * 1000</f>
        <v>0.51944140392481997</v>
      </c>
      <c r="AA89">
        <f>(Table1[[#This Row],[Dense-Equivalent Throughput (GOPS)]] / 654.74 )/ IF(Table1[[#This Row],[config]]=0, 42381, 7618) * 10^9</f>
        <v>2710.2419408452347</v>
      </c>
      <c r="AB89">
        <f>IF(Table1[[#This Row],[config]]=0, 2860, 2210) * (Table1[[#This Row],[cycles]] / 70) / 1000</f>
        <v>2.4922857142857144</v>
      </c>
    </row>
    <row r="90" spans="1:28" x14ac:dyDescent="0.25">
      <c r="A90" t="s">
        <v>20</v>
      </c>
      <c r="B90" t="s">
        <v>22</v>
      </c>
      <c r="C90">
        <v>1</v>
      </c>
      <c r="D90">
        <v>41</v>
      </c>
      <c r="E90">
        <v>9</v>
      </c>
      <c r="F90">
        <v>32</v>
      </c>
      <c r="G90">
        <v>32</v>
      </c>
      <c r="H90">
        <v>9</v>
      </c>
      <c r="I90">
        <v>23</v>
      </c>
      <c r="J90">
        <v>9</v>
      </c>
      <c r="K90">
        <v>0</v>
      </c>
      <c r="L90">
        <v>32</v>
      </c>
      <c r="M90">
        <v>0.78049999999999997</v>
      </c>
      <c r="N90">
        <v>18432</v>
      </c>
      <c r="O90">
        <v>3726</v>
      </c>
      <c r="P90">
        <v>0.79790000000000005</v>
      </c>
      <c r="Q90">
        <v>39</v>
      </c>
      <c r="R90">
        <v>54.7</v>
      </c>
      <c r="S90" t="b">
        <v>1</v>
      </c>
      <c r="T90">
        <v>0.55714285699999999</v>
      </c>
      <c r="U90">
        <v>88</v>
      </c>
      <c r="V90">
        <f>Table1[[#This Row],[orig_m]]+Table1[[#This Row],[orig_n]]+Table1[[#This Row],[orig_k]]-2</f>
        <v>71</v>
      </c>
      <c r="W90">
        <f>Table1[[#This Row],[Dense Baseline]]-Table1[[#This Row],[cycles]]</f>
        <v>32</v>
      </c>
      <c r="X90">
        <f>(Table1[[#This Row],[eff_macs]]/Table1[[#This Row],[cycles]])*0.07</f>
        <v>6.6876923076923083</v>
      </c>
      <c r="Y90">
        <f>(Table1[[#This Row],[orig_macs]]/Table1[[#This Row],[cycles]])*0.07</f>
        <v>33.083076923076931</v>
      </c>
      <c r="Z90">
        <f>(Table1[[#This Row],[Dense-Equivalent Throughput (GOPS)]] / IF(Table1[[#This Row],[config]]=0,144781,7618)) * 1000</f>
        <v>0.22850427143808186</v>
      </c>
      <c r="AA90">
        <f>(Table1[[#This Row],[Dense-Equivalent Throughput (GOPS)]] / 654.74 )/ IF(Table1[[#This Row],[config]]=0, 42381, 7618) * 10^9</f>
        <v>1192.2458537852838</v>
      </c>
      <c r="AB90">
        <f>IF(Table1[[#This Row],[config]]=0, 2860, 2210) * (Table1[[#This Row],[cycles]] / 70) / 1000</f>
        <v>1.5934285714285716</v>
      </c>
    </row>
    <row r="91" spans="1:28" x14ac:dyDescent="0.25">
      <c r="A91" t="s">
        <v>20</v>
      </c>
      <c r="B91" t="s">
        <v>22</v>
      </c>
      <c r="C91">
        <v>1</v>
      </c>
      <c r="D91">
        <v>42</v>
      </c>
      <c r="E91">
        <v>9</v>
      </c>
      <c r="F91">
        <v>32</v>
      </c>
      <c r="G91">
        <v>32</v>
      </c>
      <c r="H91">
        <v>9</v>
      </c>
      <c r="I91">
        <v>19</v>
      </c>
      <c r="J91">
        <v>9</v>
      </c>
      <c r="K91">
        <v>0</v>
      </c>
      <c r="L91">
        <v>32</v>
      </c>
      <c r="M91">
        <v>0.80789999999999995</v>
      </c>
      <c r="N91">
        <v>18432</v>
      </c>
      <c r="O91">
        <v>3078</v>
      </c>
      <c r="P91">
        <v>0.83299999999999996</v>
      </c>
      <c r="Q91">
        <v>35</v>
      </c>
      <c r="R91">
        <v>14.5</v>
      </c>
      <c r="S91" t="b">
        <v>1</v>
      </c>
      <c r="T91">
        <v>0.5</v>
      </c>
      <c r="U91">
        <v>89</v>
      </c>
      <c r="V91">
        <f>Table1[[#This Row],[orig_m]]+Table1[[#This Row],[orig_n]]+Table1[[#This Row],[orig_k]]-2</f>
        <v>71</v>
      </c>
      <c r="W91">
        <f>Table1[[#This Row],[Dense Baseline]]-Table1[[#This Row],[cycles]]</f>
        <v>36</v>
      </c>
      <c r="X91">
        <f>(Table1[[#This Row],[eff_macs]]/Table1[[#This Row],[cycles]])*0.07</f>
        <v>6.1559999999999997</v>
      </c>
      <c r="Y91">
        <f>(Table1[[#This Row],[orig_macs]]/Table1[[#This Row],[cycles]])*0.07</f>
        <v>36.863999999999997</v>
      </c>
      <c r="Z91">
        <f>(Table1[[#This Row],[Dense-Equivalent Throughput (GOPS)]] / IF(Table1[[#This Row],[config]]=0,144781,7618)) * 1000</f>
        <v>0.25461904531671969</v>
      </c>
      <c r="AA91">
        <f>(Table1[[#This Row],[Dense-Equivalent Throughput (GOPS)]] / 654.74 )/ IF(Table1[[#This Row],[config]]=0, 42381, 7618) * 10^9</f>
        <v>1328.5025227893159</v>
      </c>
      <c r="AB91">
        <f>IF(Table1[[#This Row],[config]]=0, 2860, 2210) * (Table1[[#This Row],[cycles]] / 70) / 1000</f>
        <v>1.43</v>
      </c>
    </row>
    <row r="92" spans="1:28" x14ac:dyDescent="0.25">
      <c r="A92" t="s">
        <v>20</v>
      </c>
      <c r="B92" t="s">
        <v>22</v>
      </c>
      <c r="C92">
        <v>1</v>
      </c>
      <c r="D92">
        <v>43</v>
      </c>
      <c r="E92">
        <v>9</v>
      </c>
      <c r="F92">
        <v>32</v>
      </c>
      <c r="G92">
        <v>32</v>
      </c>
      <c r="H92">
        <v>9</v>
      </c>
      <c r="I92">
        <v>17</v>
      </c>
      <c r="J92">
        <v>9</v>
      </c>
      <c r="K92">
        <v>0</v>
      </c>
      <c r="L92">
        <v>32</v>
      </c>
      <c r="M92">
        <v>0.8216</v>
      </c>
      <c r="N92">
        <v>18432</v>
      </c>
      <c r="O92">
        <v>2754</v>
      </c>
      <c r="P92">
        <v>0.85060000000000002</v>
      </c>
      <c r="Q92">
        <v>33</v>
      </c>
      <c r="R92">
        <v>20.6</v>
      </c>
      <c r="S92" t="b">
        <v>1</v>
      </c>
      <c r="T92">
        <v>0.47142857100000002</v>
      </c>
      <c r="U92">
        <v>90</v>
      </c>
      <c r="V92">
        <f>Table1[[#This Row],[orig_m]]+Table1[[#This Row],[orig_n]]+Table1[[#This Row],[orig_k]]-2</f>
        <v>71</v>
      </c>
      <c r="W92">
        <f>Table1[[#This Row],[Dense Baseline]]-Table1[[#This Row],[cycles]]</f>
        <v>38</v>
      </c>
      <c r="X92">
        <f>(Table1[[#This Row],[eff_macs]]/Table1[[#This Row],[cycles]])*0.07</f>
        <v>5.8418181818181827</v>
      </c>
      <c r="Y92">
        <f>(Table1[[#This Row],[orig_macs]]/Table1[[#This Row],[cycles]])*0.07</f>
        <v>39.098181818181821</v>
      </c>
      <c r="Z92">
        <f>(Table1[[#This Row],[Dense-Equivalent Throughput (GOPS)]] / IF(Table1[[#This Row],[config]]=0,144781,7618)) * 1000</f>
        <v>0.27005050260864216</v>
      </c>
      <c r="AA92">
        <f>(Table1[[#This Row],[Dense-Equivalent Throughput (GOPS)]] / 654.74 )/ IF(Table1[[#This Row],[config]]=0, 42381, 7618) * 10^9</f>
        <v>1409.0178272007897</v>
      </c>
      <c r="AB92">
        <f>IF(Table1[[#This Row],[config]]=0, 2860, 2210) * (Table1[[#This Row],[cycles]] / 70) / 1000</f>
        <v>1.3482857142857143</v>
      </c>
    </row>
    <row r="93" spans="1:28" x14ac:dyDescent="0.25">
      <c r="A93" t="s">
        <v>20</v>
      </c>
      <c r="B93" t="s">
        <v>22</v>
      </c>
      <c r="C93">
        <v>1</v>
      </c>
      <c r="D93">
        <v>44</v>
      </c>
      <c r="E93">
        <v>9</v>
      </c>
      <c r="F93">
        <v>32</v>
      </c>
      <c r="G93">
        <v>32</v>
      </c>
      <c r="H93">
        <v>9</v>
      </c>
      <c r="I93">
        <v>13</v>
      </c>
      <c r="J93">
        <v>9</v>
      </c>
      <c r="K93">
        <v>1</v>
      </c>
      <c r="L93">
        <v>16</v>
      </c>
      <c r="M93">
        <v>0.84909999999999997</v>
      </c>
      <c r="N93">
        <v>18432</v>
      </c>
      <c r="O93">
        <v>2106</v>
      </c>
      <c r="P93">
        <v>0.88570000000000004</v>
      </c>
      <c r="Q93">
        <v>29</v>
      </c>
      <c r="R93">
        <v>15.3</v>
      </c>
      <c r="S93" t="b">
        <v>1</v>
      </c>
      <c r="T93">
        <v>0.41428571400000003</v>
      </c>
      <c r="U93">
        <v>91</v>
      </c>
      <c r="V93">
        <f>Table1[[#This Row],[orig_m]]+Table1[[#This Row],[orig_n]]+Table1[[#This Row],[orig_k]]-2</f>
        <v>71</v>
      </c>
      <c r="W93">
        <f>Table1[[#This Row],[Dense Baseline]]-Table1[[#This Row],[cycles]]</f>
        <v>42</v>
      </c>
      <c r="X93">
        <f>(Table1[[#This Row],[eff_macs]]/Table1[[#This Row],[cycles]])*0.07</f>
        <v>5.0834482758620698</v>
      </c>
      <c r="Y93">
        <f>(Table1[[#This Row],[orig_macs]]/Table1[[#This Row],[cycles]])*0.07</f>
        <v>44.491034482758629</v>
      </c>
      <c r="Z93">
        <f>(Table1[[#This Row],[Dense-Equivalent Throughput (GOPS)]] / IF(Table1[[#This Row],[config]]=0,144781,7618)) * 1000</f>
        <v>5.8402513104172522</v>
      </c>
      <c r="AA93">
        <f>(Table1[[#This Row],[Dense-Equivalent Throughput (GOPS)]] / 654.74 )/ IF(Table1[[#This Row],[config]]=0, 42381, 7618) * 10^9</f>
        <v>8919.9549598577323</v>
      </c>
      <c r="AB93">
        <f>IF(Table1[[#This Row],[config]]=0, 2860, 2210) * (Table1[[#This Row],[cycles]] / 70) / 1000</f>
        <v>0.9155714285714287</v>
      </c>
    </row>
    <row r="94" spans="1:28" x14ac:dyDescent="0.25">
      <c r="A94" t="s">
        <v>20</v>
      </c>
      <c r="B94" t="s">
        <v>22</v>
      </c>
      <c r="C94">
        <v>1</v>
      </c>
      <c r="D94">
        <v>45</v>
      </c>
      <c r="E94">
        <v>9</v>
      </c>
      <c r="F94">
        <v>32</v>
      </c>
      <c r="G94">
        <v>32</v>
      </c>
      <c r="H94">
        <v>9</v>
      </c>
      <c r="I94">
        <v>21</v>
      </c>
      <c r="J94">
        <v>9</v>
      </c>
      <c r="K94">
        <v>0</v>
      </c>
      <c r="L94">
        <v>32</v>
      </c>
      <c r="M94">
        <v>0.79420000000000002</v>
      </c>
      <c r="N94">
        <v>18432</v>
      </c>
      <c r="O94">
        <v>3402</v>
      </c>
      <c r="P94">
        <v>0.81540000000000001</v>
      </c>
      <c r="Q94">
        <v>37</v>
      </c>
      <c r="R94">
        <v>34</v>
      </c>
      <c r="S94" t="b">
        <v>1</v>
      </c>
      <c r="T94">
        <v>0.52857142899999998</v>
      </c>
      <c r="U94">
        <v>92</v>
      </c>
      <c r="V94">
        <f>Table1[[#This Row],[orig_m]]+Table1[[#This Row],[orig_n]]+Table1[[#This Row],[orig_k]]-2</f>
        <v>71</v>
      </c>
      <c r="W94">
        <f>Table1[[#This Row],[Dense Baseline]]-Table1[[#This Row],[cycles]]</f>
        <v>34</v>
      </c>
      <c r="X94">
        <f>(Table1[[#This Row],[eff_macs]]/Table1[[#This Row],[cycles]])*0.07</f>
        <v>6.4362162162162173</v>
      </c>
      <c r="Y94">
        <f>(Table1[[#This Row],[orig_macs]]/Table1[[#This Row],[cycles]])*0.07</f>
        <v>34.871351351351358</v>
      </c>
      <c r="Z94">
        <f>(Table1[[#This Row],[Dense-Equivalent Throughput (GOPS)]] / IF(Table1[[#This Row],[config]]=0,144781,7618)) * 1000</f>
        <v>0.24085585367797815</v>
      </c>
      <c r="AA94">
        <f>(Table1[[#This Row],[Dense-Equivalent Throughput (GOPS)]] / 654.74 )/ IF(Table1[[#This Row],[config]]=0, 42381, 7618) * 10^9</f>
        <v>1256.6915756115152</v>
      </c>
      <c r="AB94">
        <f>IF(Table1[[#This Row],[config]]=0, 2860, 2210) * (Table1[[#This Row],[cycles]] / 70) / 1000</f>
        <v>1.5117142857142858</v>
      </c>
    </row>
    <row r="95" spans="1:28" x14ac:dyDescent="0.25">
      <c r="A95" t="s">
        <v>20</v>
      </c>
      <c r="B95" t="s">
        <v>22</v>
      </c>
      <c r="C95">
        <v>1</v>
      </c>
      <c r="D95">
        <v>46</v>
      </c>
      <c r="E95">
        <v>9</v>
      </c>
      <c r="F95">
        <v>32</v>
      </c>
      <c r="G95">
        <v>32</v>
      </c>
      <c r="H95">
        <v>9</v>
      </c>
      <c r="I95">
        <v>17</v>
      </c>
      <c r="J95">
        <v>9</v>
      </c>
      <c r="K95">
        <v>0</v>
      </c>
      <c r="L95">
        <v>32</v>
      </c>
      <c r="M95">
        <v>0.8216</v>
      </c>
      <c r="N95">
        <v>18432</v>
      </c>
      <c r="O95">
        <v>2754</v>
      </c>
      <c r="P95">
        <v>0.85060000000000002</v>
      </c>
      <c r="Q95">
        <v>33</v>
      </c>
      <c r="R95">
        <v>59.6</v>
      </c>
      <c r="S95" t="b">
        <v>1</v>
      </c>
      <c r="T95">
        <v>0.47142857100000002</v>
      </c>
      <c r="U95">
        <v>93</v>
      </c>
      <c r="V95">
        <f>Table1[[#This Row],[orig_m]]+Table1[[#This Row],[orig_n]]+Table1[[#This Row],[orig_k]]-2</f>
        <v>71</v>
      </c>
      <c r="W95">
        <f>Table1[[#This Row],[Dense Baseline]]-Table1[[#This Row],[cycles]]</f>
        <v>38</v>
      </c>
      <c r="X95">
        <f>(Table1[[#This Row],[eff_macs]]/Table1[[#This Row],[cycles]])*0.07</f>
        <v>5.8418181818181827</v>
      </c>
      <c r="Y95">
        <f>(Table1[[#This Row],[orig_macs]]/Table1[[#This Row],[cycles]])*0.07</f>
        <v>39.098181818181821</v>
      </c>
      <c r="Z95">
        <f>(Table1[[#This Row],[Dense-Equivalent Throughput (GOPS)]] / IF(Table1[[#This Row],[config]]=0,144781,7618)) * 1000</f>
        <v>0.27005050260864216</v>
      </c>
      <c r="AA95">
        <f>(Table1[[#This Row],[Dense-Equivalent Throughput (GOPS)]] / 654.74 )/ IF(Table1[[#This Row],[config]]=0, 42381, 7618) * 10^9</f>
        <v>1409.0178272007897</v>
      </c>
      <c r="AB95">
        <f>IF(Table1[[#This Row],[config]]=0, 2860, 2210) * (Table1[[#This Row],[cycles]] / 70) / 1000</f>
        <v>1.3482857142857143</v>
      </c>
    </row>
    <row r="96" spans="1:28" x14ac:dyDescent="0.25">
      <c r="A96" t="s">
        <v>20</v>
      </c>
      <c r="B96" t="s">
        <v>22</v>
      </c>
      <c r="C96">
        <v>1</v>
      </c>
      <c r="D96">
        <v>47</v>
      </c>
      <c r="E96">
        <v>9</v>
      </c>
      <c r="F96">
        <v>32</v>
      </c>
      <c r="G96">
        <v>32</v>
      </c>
      <c r="H96">
        <v>9</v>
      </c>
      <c r="I96">
        <v>18</v>
      </c>
      <c r="J96">
        <v>9</v>
      </c>
      <c r="K96">
        <v>0</v>
      </c>
      <c r="L96">
        <v>32</v>
      </c>
      <c r="M96">
        <v>0.81479999999999997</v>
      </c>
      <c r="N96">
        <v>18432</v>
      </c>
      <c r="O96">
        <v>2916</v>
      </c>
      <c r="P96">
        <v>0.84179999999999999</v>
      </c>
      <c r="Q96">
        <v>34</v>
      </c>
      <c r="R96">
        <v>18</v>
      </c>
      <c r="S96" t="b">
        <v>1</v>
      </c>
      <c r="T96">
        <v>0.485714286</v>
      </c>
      <c r="U96">
        <v>94</v>
      </c>
      <c r="V96">
        <f>Table1[[#This Row],[orig_m]]+Table1[[#This Row],[orig_n]]+Table1[[#This Row],[orig_k]]-2</f>
        <v>71</v>
      </c>
      <c r="W96">
        <f>Table1[[#This Row],[Dense Baseline]]-Table1[[#This Row],[cycles]]</f>
        <v>37</v>
      </c>
      <c r="X96">
        <f>(Table1[[#This Row],[eff_macs]]/Table1[[#This Row],[cycles]])*0.07</f>
        <v>6.0035294117647062</v>
      </c>
      <c r="Y96">
        <f>(Table1[[#This Row],[orig_macs]]/Table1[[#This Row],[cycles]])*0.07</f>
        <v>37.948235294117652</v>
      </c>
      <c r="Z96">
        <f>(Table1[[#This Row],[Dense-Equivalent Throughput (GOPS)]] / IF(Table1[[#This Row],[config]]=0,144781,7618)) * 1000</f>
        <v>0.2621078407672115</v>
      </c>
      <c r="AA96">
        <f>(Table1[[#This Row],[Dense-Equivalent Throughput (GOPS)]] / 654.74 )/ IF(Table1[[#This Row],[config]]=0, 42381, 7618) * 10^9</f>
        <v>1367.5761264007665</v>
      </c>
      <c r="AB96">
        <f>IF(Table1[[#This Row],[config]]=0, 2860, 2210) * (Table1[[#This Row],[cycles]] / 70) / 1000</f>
        <v>1.389142857142857</v>
      </c>
    </row>
    <row r="97" spans="1:28" x14ac:dyDescent="0.25">
      <c r="A97" t="s">
        <v>20</v>
      </c>
      <c r="B97" t="s">
        <v>22</v>
      </c>
      <c r="C97">
        <v>1</v>
      </c>
      <c r="D97">
        <v>48</v>
      </c>
      <c r="E97">
        <v>9</v>
      </c>
      <c r="F97">
        <v>32</v>
      </c>
      <c r="G97">
        <v>32</v>
      </c>
      <c r="H97">
        <v>9</v>
      </c>
      <c r="I97">
        <v>13</v>
      </c>
      <c r="J97">
        <v>9</v>
      </c>
      <c r="K97">
        <v>1</v>
      </c>
      <c r="L97">
        <v>16</v>
      </c>
      <c r="M97">
        <v>0.84909999999999997</v>
      </c>
      <c r="N97">
        <v>18432</v>
      </c>
      <c r="O97">
        <v>2106</v>
      </c>
      <c r="P97">
        <v>0.88570000000000004</v>
      </c>
      <c r="Q97">
        <v>29</v>
      </c>
      <c r="R97">
        <v>14.7</v>
      </c>
      <c r="S97" t="b">
        <v>1</v>
      </c>
      <c r="T97">
        <v>0.41428571400000003</v>
      </c>
      <c r="U97">
        <v>95</v>
      </c>
      <c r="V97">
        <f>Table1[[#This Row],[orig_m]]+Table1[[#This Row],[orig_n]]+Table1[[#This Row],[orig_k]]-2</f>
        <v>71</v>
      </c>
      <c r="W97">
        <f>Table1[[#This Row],[Dense Baseline]]-Table1[[#This Row],[cycles]]</f>
        <v>42</v>
      </c>
      <c r="X97">
        <f>(Table1[[#This Row],[eff_macs]]/Table1[[#This Row],[cycles]])*0.07</f>
        <v>5.0834482758620698</v>
      </c>
      <c r="Y97">
        <f>(Table1[[#This Row],[orig_macs]]/Table1[[#This Row],[cycles]])*0.07</f>
        <v>44.491034482758629</v>
      </c>
      <c r="Z97">
        <f>(Table1[[#This Row],[Dense-Equivalent Throughput (GOPS)]] / IF(Table1[[#This Row],[config]]=0,144781,7618)) * 1000</f>
        <v>5.8402513104172522</v>
      </c>
      <c r="AA97">
        <f>(Table1[[#This Row],[Dense-Equivalent Throughput (GOPS)]] / 654.74 )/ IF(Table1[[#This Row],[config]]=0, 42381, 7618) * 10^9</f>
        <v>8919.9549598577323</v>
      </c>
      <c r="AB97">
        <f>IF(Table1[[#This Row],[config]]=0, 2860, 2210) * (Table1[[#This Row],[cycles]] / 70) / 1000</f>
        <v>0.9155714285714287</v>
      </c>
    </row>
    <row r="98" spans="1:28" x14ac:dyDescent="0.25">
      <c r="A98" t="s">
        <v>20</v>
      </c>
      <c r="B98" t="s">
        <v>23</v>
      </c>
      <c r="C98">
        <v>2</v>
      </c>
      <c r="D98">
        <v>1</v>
      </c>
      <c r="E98">
        <v>32</v>
      </c>
      <c r="F98">
        <v>32</v>
      </c>
      <c r="G98">
        <v>32</v>
      </c>
      <c r="H98">
        <v>22</v>
      </c>
      <c r="I98">
        <v>16</v>
      </c>
      <c r="J98">
        <v>8</v>
      </c>
      <c r="K98">
        <v>0</v>
      </c>
      <c r="L98">
        <v>32</v>
      </c>
      <c r="M98">
        <v>0.85160000000000002</v>
      </c>
      <c r="N98">
        <v>65536</v>
      </c>
      <c r="O98">
        <v>5632</v>
      </c>
      <c r="P98">
        <v>0.91410000000000002</v>
      </c>
      <c r="Q98">
        <v>44</v>
      </c>
      <c r="R98">
        <v>44.3</v>
      </c>
      <c r="S98" t="b">
        <v>1</v>
      </c>
      <c r="T98">
        <v>0.62857142899999996</v>
      </c>
      <c r="U98">
        <v>96</v>
      </c>
      <c r="V98">
        <f>Table1[[#This Row],[orig_m]]+Table1[[#This Row],[orig_n]]+Table1[[#This Row],[orig_k]]-2</f>
        <v>94</v>
      </c>
      <c r="W98">
        <f>Table1[[#This Row],[Dense Baseline]]-Table1[[#This Row],[cycles]]</f>
        <v>50</v>
      </c>
      <c r="X98">
        <f>(Table1[[#This Row],[eff_macs]]/Table1[[#This Row],[cycles]])*0.07</f>
        <v>8.9600000000000009</v>
      </c>
      <c r="Y98">
        <f>(Table1[[#This Row],[orig_macs]]/Table1[[#This Row],[cycles]])*0.07</f>
        <v>104.2618181818182</v>
      </c>
      <c r="Z98">
        <f>(Table1[[#This Row],[Dense-Equivalent Throughput (GOPS)]] / IF(Table1[[#This Row],[config]]=0,144781,7618)) * 1000</f>
        <v>0.72013467362304584</v>
      </c>
      <c r="AA98">
        <f>(Table1[[#This Row],[Dense-Equivalent Throughput (GOPS)]] / 654.74 )/ IF(Table1[[#This Row],[config]]=0, 42381, 7618) * 10^9</f>
        <v>3757.3808725354393</v>
      </c>
      <c r="AB98">
        <f>IF(Table1[[#This Row],[config]]=0, 2860, 2210) * (Table1[[#This Row],[cycles]] / 70) / 1000</f>
        <v>1.7977142857142858</v>
      </c>
    </row>
    <row r="99" spans="1:28" x14ac:dyDescent="0.25">
      <c r="A99" t="s">
        <v>20</v>
      </c>
      <c r="B99" t="s">
        <v>23</v>
      </c>
      <c r="C99">
        <v>2</v>
      </c>
      <c r="D99">
        <v>2</v>
      </c>
      <c r="E99">
        <v>32</v>
      </c>
      <c r="F99">
        <v>32</v>
      </c>
      <c r="G99">
        <v>32</v>
      </c>
      <c r="H99">
        <v>22</v>
      </c>
      <c r="I99">
        <v>17</v>
      </c>
      <c r="J99">
        <v>8</v>
      </c>
      <c r="K99">
        <v>0</v>
      </c>
      <c r="L99">
        <v>32</v>
      </c>
      <c r="M99">
        <v>0.84770000000000001</v>
      </c>
      <c r="N99">
        <v>65536</v>
      </c>
      <c r="O99">
        <v>5984</v>
      </c>
      <c r="P99">
        <v>0.90869999999999995</v>
      </c>
      <c r="Q99">
        <v>45</v>
      </c>
      <c r="R99">
        <v>49.2</v>
      </c>
      <c r="S99" t="b">
        <v>1</v>
      </c>
      <c r="T99">
        <v>0.64285714299999996</v>
      </c>
      <c r="U99">
        <v>97</v>
      </c>
      <c r="V99">
        <f>Table1[[#This Row],[orig_m]]+Table1[[#This Row],[orig_n]]+Table1[[#This Row],[orig_k]]-2</f>
        <v>94</v>
      </c>
      <c r="W99">
        <f>Table1[[#This Row],[Dense Baseline]]-Table1[[#This Row],[cycles]]</f>
        <v>49</v>
      </c>
      <c r="X99">
        <f>(Table1[[#This Row],[eff_macs]]/Table1[[#This Row],[cycles]])*0.07</f>
        <v>9.3084444444444454</v>
      </c>
      <c r="Y99">
        <f>(Table1[[#This Row],[orig_macs]]/Table1[[#This Row],[cycles]])*0.07</f>
        <v>101.9448888888889</v>
      </c>
      <c r="Z99">
        <f>(Table1[[#This Row],[Dense-Equivalent Throughput (GOPS)]] / IF(Table1[[#This Row],[config]]=0,144781,7618)) * 1000</f>
        <v>0.70413168087586697</v>
      </c>
      <c r="AA99">
        <f>(Table1[[#This Row],[Dense-Equivalent Throughput (GOPS)]] / 654.74 )/ IF(Table1[[#This Row],[config]]=0, 42381, 7618) * 10^9</f>
        <v>3673.8835198124293</v>
      </c>
      <c r="AB99">
        <f>IF(Table1[[#This Row],[config]]=0, 2860, 2210) * (Table1[[#This Row],[cycles]] / 70) / 1000</f>
        <v>1.8385714285714287</v>
      </c>
    </row>
    <row r="100" spans="1:28" x14ac:dyDescent="0.25">
      <c r="A100" t="s">
        <v>20</v>
      </c>
      <c r="B100" t="s">
        <v>23</v>
      </c>
      <c r="C100">
        <v>2</v>
      </c>
      <c r="D100">
        <v>3</v>
      </c>
      <c r="E100">
        <v>32</v>
      </c>
      <c r="F100">
        <v>32</v>
      </c>
      <c r="G100">
        <v>32</v>
      </c>
      <c r="H100">
        <v>22</v>
      </c>
      <c r="I100">
        <v>17</v>
      </c>
      <c r="J100">
        <v>8</v>
      </c>
      <c r="K100">
        <v>0</v>
      </c>
      <c r="L100">
        <v>32</v>
      </c>
      <c r="M100">
        <v>0.84770000000000001</v>
      </c>
      <c r="N100">
        <v>65536</v>
      </c>
      <c r="O100">
        <v>5984</v>
      </c>
      <c r="P100">
        <v>0.90869999999999995</v>
      </c>
      <c r="Q100">
        <v>45</v>
      </c>
      <c r="R100">
        <v>48.6</v>
      </c>
      <c r="S100" t="b">
        <v>1</v>
      </c>
      <c r="T100">
        <v>0.64285714299999996</v>
      </c>
      <c r="U100">
        <v>98</v>
      </c>
      <c r="V100">
        <f>Table1[[#This Row],[orig_m]]+Table1[[#This Row],[orig_n]]+Table1[[#This Row],[orig_k]]-2</f>
        <v>94</v>
      </c>
      <c r="W100">
        <f>Table1[[#This Row],[Dense Baseline]]-Table1[[#This Row],[cycles]]</f>
        <v>49</v>
      </c>
      <c r="X100">
        <f>(Table1[[#This Row],[eff_macs]]/Table1[[#This Row],[cycles]])*0.07</f>
        <v>9.3084444444444454</v>
      </c>
      <c r="Y100">
        <f>(Table1[[#This Row],[orig_macs]]/Table1[[#This Row],[cycles]])*0.07</f>
        <v>101.9448888888889</v>
      </c>
      <c r="Z100">
        <f>(Table1[[#This Row],[Dense-Equivalent Throughput (GOPS)]] / IF(Table1[[#This Row],[config]]=0,144781,7618)) * 1000</f>
        <v>0.70413168087586697</v>
      </c>
      <c r="AA100">
        <f>(Table1[[#This Row],[Dense-Equivalent Throughput (GOPS)]] / 654.74 )/ IF(Table1[[#This Row],[config]]=0, 42381, 7618) * 10^9</f>
        <v>3673.8835198124293</v>
      </c>
      <c r="AB100">
        <f>IF(Table1[[#This Row],[config]]=0, 2860, 2210) * (Table1[[#This Row],[cycles]] / 70) / 1000</f>
        <v>1.8385714285714287</v>
      </c>
    </row>
    <row r="101" spans="1:28" x14ac:dyDescent="0.25">
      <c r="A101" t="s">
        <v>20</v>
      </c>
      <c r="B101" t="s">
        <v>23</v>
      </c>
      <c r="C101">
        <v>2</v>
      </c>
      <c r="D101">
        <v>4</v>
      </c>
      <c r="E101">
        <v>32</v>
      </c>
      <c r="F101">
        <v>32</v>
      </c>
      <c r="G101">
        <v>32</v>
      </c>
      <c r="H101">
        <v>22</v>
      </c>
      <c r="I101">
        <v>15</v>
      </c>
      <c r="J101">
        <v>8</v>
      </c>
      <c r="K101">
        <v>0</v>
      </c>
      <c r="L101">
        <v>32</v>
      </c>
      <c r="M101">
        <v>0.85550000000000004</v>
      </c>
      <c r="N101">
        <v>65536</v>
      </c>
      <c r="O101">
        <v>5280</v>
      </c>
      <c r="P101">
        <v>0.9194</v>
      </c>
      <c r="Q101">
        <v>43</v>
      </c>
      <c r="R101">
        <v>88.8</v>
      </c>
      <c r="S101" t="b">
        <v>1</v>
      </c>
      <c r="T101">
        <v>0.61428571399999998</v>
      </c>
      <c r="U101">
        <v>99</v>
      </c>
      <c r="V101">
        <f>Table1[[#This Row],[orig_m]]+Table1[[#This Row],[orig_n]]+Table1[[#This Row],[orig_k]]-2</f>
        <v>94</v>
      </c>
      <c r="W101">
        <f>Table1[[#This Row],[Dense Baseline]]-Table1[[#This Row],[cycles]]</f>
        <v>51</v>
      </c>
      <c r="X101">
        <f>(Table1[[#This Row],[eff_macs]]/Table1[[#This Row],[cycles]])*0.07</f>
        <v>8.5953488372093041</v>
      </c>
      <c r="Y101">
        <f>(Table1[[#This Row],[orig_macs]]/Table1[[#This Row],[cycles]])*0.07</f>
        <v>106.68651162790698</v>
      </c>
      <c r="Z101">
        <f>(Table1[[#This Row],[Dense-Equivalent Throughput (GOPS)]] / IF(Table1[[#This Row],[config]]=0,144781,7618)) * 1000</f>
        <v>0.73688199161427936</v>
      </c>
      <c r="AA101">
        <f>(Table1[[#This Row],[Dense-Equivalent Throughput (GOPS)]] / 654.74 )/ IF(Table1[[#This Row],[config]]=0, 42381, 7618) * 10^9</f>
        <v>3844.7618230595185</v>
      </c>
      <c r="AB101">
        <f>IF(Table1[[#This Row],[config]]=0, 2860, 2210) * (Table1[[#This Row],[cycles]] / 70) / 1000</f>
        <v>1.7568571428571429</v>
      </c>
    </row>
    <row r="102" spans="1:28" x14ac:dyDescent="0.25">
      <c r="A102" t="s">
        <v>20</v>
      </c>
      <c r="B102" t="s">
        <v>23</v>
      </c>
      <c r="C102">
        <v>2</v>
      </c>
      <c r="D102">
        <v>5</v>
      </c>
      <c r="E102">
        <v>32</v>
      </c>
      <c r="F102">
        <v>32</v>
      </c>
      <c r="G102">
        <v>32</v>
      </c>
      <c r="H102">
        <v>22</v>
      </c>
      <c r="I102">
        <v>18</v>
      </c>
      <c r="J102">
        <v>8</v>
      </c>
      <c r="K102">
        <v>0</v>
      </c>
      <c r="L102">
        <v>32</v>
      </c>
      <c r="M102">
        <v>0.84379999999999999</v>
      </c>
      <c r="N102">
        <v>65536</v>
      </c>
      <c r="O102">
        <v>6336</v>
      </c>
      <c r="P102">
        <v>0.90329999999999999</v>
      </c>
      <c r="Q102">
        <v>46</v>
      </c>
      <c r="R102">
        <v>49.1</v>
      </c>
      <c r="S102" t="b">
        <v>1</v>
      </c>
      <c r="T102">
        <v>0.65714285699999997</v>
      </c>
      <c r="U102">
        <v>100</v>
      </c>
      <c r="V102">
        <f>Table1[[#This Row],[orig_m]]+Table1[[#This Row],[orig_n]]+Table1[[#This Row],[orig_k]]-2</f>
        <v>94</v>
      </c>
      <c r="W102">
        <f>Table1[[#This Row],[Dense Baseline]]-Table1[[#This Row],[cycles]]</f>
        <v>48</v>
      </c>
      <c r="X102">
        <f>(Table1[[#This Row],[eff_macs]]/Table1[[#This Row],[cycles]])*0.07</f>
        <v>9.6417391304347824</v>
      </c>
      <c r="Y102">
        <f>(Table1[[#This Row],[orig_macs]]/Table1[[#This Row],[cycles]])*0.07</f>
        <v>99.728695652173926</v>
      </c>
      <c r="Z102">
        <f>(Table1[[#This Row],[Dense-Equivalent Throughput (GOPS)]] / IF(Table1[[#This Row],[config]]=0,144781,7618)) * 1000</f>
        <v>0.68882447042204387</v>
      </c>
      <c r="AA102">
        <f>(Table1[[#This Row],[Dense-Equivalent Throughput (GOPS)]] / 654.74 )/ IF(Table1[[#This Row],[config]]=0, 42381, 7618) * 10^9</f>
        <v>3594.0164867730291</v>
      </c>
      <c r="AB102">
        <f>IF(Table1[[#This Row],[config]]=0, 2860, 2210) * (Table1[[#This Row],[cycles]] / 70) / 1000</f>
        <v>1.8794285714285712</v>
      </c>
    </row>
    <row r="103" spans="1:28" x14ac:dyDescent="0.25">
      <c r="A103" t="s">
        <v>20</v>
      </c>
      <c r="B103" t="s">
        <v>23</v>
      </c>
      <c r="C103">
        <v>2</v>
      </c>
      <c r="D103">
        <v>6</v>
      </c>
      <c r="E103">
        <v>32</v>
      </c>
      <c r="F103">
        <v>32</v>
      </c>
      <c r="G103">
        <v>32</v>
      </c>
      <c r="H103">
        <v>22</v>
      </c>
      <c r="I103">
        <v>18</v>
      </c>
      <c r="J103">
        <v>8</v>
      </c>
      <c r="K103">
        <v>0</v>
      </c>
      <c r="L103">
        <v>32</v>
      </c>
      <c r="M103">
        <v>0.84379999999999999</v>
      </c>
      <c r="N103">
        <v>65536</v>
      </c>
      <c r="O103">
        <v>6336</v>
      </c>
      <c r="P103">
        <v>0.90329999999999999</v>
      </c>
      <c r="Q103">
        <v>46</v>
      </c>
      <c r="R103">
        <v>50.7</v>
      </c>
      <c r="S103" t="b">
        <v>1</v>
      </c>
      <c r="T103">
        <v>0.65714285699999997</v>
      </c>
      <c r="U103">
        <v>101</v>
      </c>
      <c r="V103">
        <f>Table1[[#This Row],[orig_m]]+Table1[[#This Row],[orig_n]]+Table1[[#This Row],[orig_k]]-2</f>
        <v>94</v>
      </c>
      <c r="W103">
        <f>Table1[[#This Row],[Dense Baseline]]-Table1[[#This Row],[cycles]]</f>
        <v>48</v>
      </c>
      <c r="X103">
        <f>(Table1[[#This Row],[eff_macs]]/Table1[[#This Row],[cycles]])*0.07</f>
        <v>9.6417391304347824</v>
      </c>
      <c r="Y103">
        <f>(Table1[[#This Row],[orig_macs]]/Table1[[#This Row],[cycles]])*0.07</f>
        <v>99.728695652173926</v>
      </c>
      <c r="Z103">
        <f>(Table1[[#This Row],[Dense-Equivalent Throughput (GOPS)]] / IF(Table1[[#This Row],[config]]=0,144781,7618)) * 1000</f>
        <v>0.68882447042204387</v>
      </c>
      <c r="AA103">
        <f>(Table1[[#This Row],[Dense-Equivalent Throughput (GOPS)]] / 654.74 )/ IF(Table1[[#This Row],[config]]=0, 42381, 7618) * 10^9</f>
        <v>3594.0164867730291</v>
      </c>
      <c r="AB103">
        <f>IF(Table1[[#This Row],[config]]=0, 2860, 2210) * (Table1[[#This Row],[cycles]] / 70) / 1000</f>
        <v>1.8794285714285712</v>
      </c>
    </row>
    <row r="104" spans="1:28" x14ac:dyDescent="0.25">
      <c r="A104" t="s">
        <v>20</v>
      </c>
      <c r="B104" t="s">
        <v>23</v>
      </c>
      <c r="C104">
        <v>2</v>
      </c>
      <c r="D104">
        <v>7</v>
      </c>
      <c r="E104">
        <v>32</v>
      </c>
      <c r="F104">
        <v>32</v>
      </c>
      <c r="G104">
        <v>32</v>
      </c>
      <c r="H104">
        <v>22</v>
      </c>
      <c r="I104">
        <v>20</v>
      </c>
      <c r="J104">
        <v>8</v>
      </c>
      <c r="K104">
        <v>0</v>
      </c>
      <c r="L104">
        <v>32</v>
      </c>
      <c r="M104">
        <v>0.83589999999999998</v>
      </c>
      <c r="N104">
        <v>65536</v>
      </c>
      <c r="O104">
        <v>7040</v>
      </c>
      <c r="P104">
        <v>0.89259999999999995</v>
      </c>
      <c r="Q104">
        <v>48</v>
      </c>
      <c r="R104">
        <v>49.3</v>
      </c>
      <c r="S104" t="b">
        <v>1</v>
      </c>
      <c r="T104">
        <v>0.68571428599999995</v>
      </c>
      <c r="U104">
        <v>102</v>
      </c>
      <c r="V104">
        <f>Table1[[#This Row],[orig_m]]+Table1[[#This Row],[orig_n]]+Table1[[#This Row],[orig_k]]-2</f>
        <v>94</v>
      </c>
      <c r="W104">
        <f>Table1[[#This Row],[Dense Baseline]]-Table1[[#This Row],[cycles]]</f>
        <v>46</v>
      </c>
      <c r="X104">
        <f>(Table1[[#This Row],[eff_macs]]/Table1[[#This Row],[cycles]])*0.07</f>
        <v>10.266666666666667</v>
      </c>
      <c r="Y104">
        <f>(Table1[[#This Row],[orig_macs]]/Table1[[#This Row],[cycles]])*0.07</f>
        <v>95.573333333333338</v>
      </c>
      <c r="Z104">
        <f>(Table1[[#This Row],[Dense-Equivalent Throughput (GOPS)]] / IF(Table1[[#This Row],[config]]=0,144781,7618)) * 1000</f>
        <v>0.66012345082112533</v>
      </c>
      <c r="AA104">
        <f>(Table1[[#This Row],[Dense-Equivalent Throughput (GOPS)]] / 654.74 )/ IF(Table1[[#This Row],[config]]=0, 42381, 7618) * 10^9</f>
        <v>3444.2657998241525</v>
      </c>
      <c r="AB104">
        <f>IF(Table1[[#This Row],[config]]=0, 2860, 2210) * (Table1[[#This Row],[cycles]] / 70) / 1000</f>
        <v>1.9611428571428571</v>
      </c>
    </row>
    <row r="105" spans="1:28" x14ac:dyDescent="0.25">
      <c r="A105" t="s">
        <v>20</v>
      </c>
      <c r="B105" t="s">
        <v>23</v>
      </c>
      <c r="C105">
        <v>2</v>
      </c>
      <c r="D105">
        <v>8</v>
      </c>
      <c r="E105">
        <v>32</v>
      </c>
      <c r="F105">
        <v>32</v>
      </c>
      <c r="G105">
        <v>32</v>
      </c>
      <c r="H105">
        <v>22</v>
      </c>
      <c r="I105">
        <v>21</v>
      </c>
      <c r="J105">
        <v>8</v>
      </c>
      <c r="K105">
        <v>0</v>
      </c>
      <c r="L105">
        <v>32</v>
      </c>
      <c r="M105">
        <v>0.83199999999999996</v>
      </c>
      <c r="N105">
        <v>65536</v>
      </c>
      <c r="O105">
        <v>7392</v>
      </c>
      <c r="P105">
        <v>0.88719999999999999</v>
      </c>
      <c r="Q105">
        <v>49</v>
      </c>
      <c r="R105">
        <v>47.9</v>
      </c>
      <c r="S105" t="b">
        <v>1</v>
      </c>
      <c r="T105">
        <v>0.7</v>
      </c>
      <c r="U105">
        <v>103</v>
      </c>
      <c r="V105">
        <f>Table1[[#This Row],[orig_m]]+Table1[[#This Row],[orig_n]]+Table1[[#This Row],[orig_k]]-2</f>
        <v>94</v>
      </c>
      <c r="W105">
        <f>Table1[[#This Row],[Dense Baseline]]-Table1[[#This Row],[cycles]]</f>
        <v>45</v>
      </c>
      <c r="X105">
        <f>(Table1[[#This Row],[eff_macs]]/Table1[[#This Row],[cycles]])*0.07</f>
        <v>10.56</v>
      </c>
      <c r="Y105">
        <f>(Table1[[#This Row],[orig_macs]]/Table1[[#This Row],[cycles]])*0.07</f>
        <v>93.622857142857143</v>
      </c>
      <c r="Z105">
        <f>(Table1[[#This Row],[Dense-Equivalent Throughput (GOPS)]] / IF(Table1[[#This Row],[config]]=0,144781,7618)) * 1000</f>
        <v>0.64665154366151045</v>
      </c>
      <c r="AA105">
        <f>(Table1[[#This Row],[Dense-Equivalent Throughput (GOPS)]] / 654.74 )/ IF(Table1[[#This Row],[config]]=0, 42381, 7618) * 10^9</f>
        <v>3373.9746610522307</v>
      </c>
      <c r="AB105">
        <f>IF(Table1[[#This Row],[config]]=0, 2860, 2210) * (Table1[[#This Row],[cycles]] / 70) / 1000</f>
        <v>2.0019999999999998</v>
      </c>
    </row>
    <row r="106" spans="1:28" x14ac:dyDescent="0.25">
      <c r="A106" t="s">
        <v>20</v>
      </c>
      <c r="B106" t="s">
        <v>23</v>
      </c>
      <c r="C106">
        <v>2</v>
      </c>
      <c r="D106">
        <v>9</v>
      </c>
      <c r="E106">
        <v>32</v>
      </c>
      <c r="F106">
        <v>32</v>
      </c>
      <c r="G106">
        <v>32</v>
      </c>
      <c r="H106">
        <v>22</v>
      </c>
      <c r="I106">
        <v>17</v>
      </c>
      <c r="J106">
        <v>8</v>
      </c>
      <c r="K106">
        <v>0</v>
      </c>
      <c r="L106">
        <v>32</v>
      </c>
      <c r="M106">
        <v>0.84770000000000001</v>
      </c>
      <c r="N106">
        <v>65536</v>
      </c>
      <c r="O106">
        <v>5984</v>
      </c>
      <c r="P106">
        <v>0.90869999999999995</v>
      </c>
      <c r="Q106">
        <v>45</v>
      </c>
      <c r="R106">
        <v>160.69999999999999</v>
      </c>
      <c r="S106" t="b">
        <v>1</v>
      </c>
      <c r="T106">
        <v>0.64285714299999996</v>
      </c>
      <c r="U106">
        <v>104</v>
      </c>
      <c r="V106">
        <f>Table1[[#This Row],[orig_m]]+Table1[[#This Row],[orig_n]]+Table1[[#This Row],[orig_k]]-2</f>
        <v>94</v>
      </c>
      <c r="W106">
        <f>Table1[[#This Row],[Dense Baseline]]-Table1[[#This Row],[cycles]]</f>
        <v>49</v>
      </c>
      <c r="X106">
        <f>(Table1[[#This Row],[eff_macs]]/Table1[[#This Row],[cycles]])*0.07</f>
        <v>9.3084444444444454</v>
      </c>
      <c r="Y106">
        <f>(Table1[[#This Row],[orig_macs]]/Table1[[#This Row],[cycles]])*0.07</f>
        <v>101.9448888888889</v>
      </c>
      <c r="Z106">
        <f>(Table1[[#This Row],[Dense-Equivalent Throughput (GOPS)]] / IF(Table1[[#This Row],[config]]=0,144781,7618)) * 1000</f>
        <v>0.70413168087586697</v>
      </c>
      <c r="AA106">
        <f>(Table1[[#This Row],[Dense-Equivalent Throughput (GOPS)]] / 654.74 )/ IF(Table1[[#This Row],[config]]=0, 42381, 7618) * 10^9</f>
        <v>3673.8835198124293</v>
      </c>
      <c r="AB106">
        <f>IF(Table1[[#This Row],[config]]=0, 2860, 2210) * (Table1[[#This Row],[cycles]] / 70) / 1000</f>
        <v>1.8385714285714287</v>
      </c>
    </row>
    <row r="107" spans="1:28" x14ac:dyDescent="0.25">
      <c r="A107" t="s">
        <v>20</v>
      </c>
      <c r="B107" t="s">
        <v>23</v>
      </c>
      <c r="C107">
        <v>2</v>
      </c>
      <c r="D107">
        <v>10</v>
      </c>
      <c r="E107">
        <v>32</v>
      </c>
      <c r="F107">
        <v>32</v>
      </c>
      <c r="G107">
        <v>32</v>
      </c>
      <c r="H107">
        <v>22</v>
      </c>
      <c r="I107">
        <v>19</v>
      </c>
      <c r="J107">
        <v>8</v>
      </c>
      <c r="K107">
        <v>0</v>
      </c>
      <c r="L107">
        <v>32</v>
      </c>
      <c r="M107">
        <v>0.83979999999999999</v>
      </c>
      <c r="N107">
        <v>65536</v>
      </c>
      <c r="O107">
        <v>6688</v>
      </c>
      <c r="P107">
        <v>0.89790000000000003</v>
      </c>
      <c r="Q107">
        <v>47</v>
      </c>
      <c r="R107">
        <v>40.200000000000003</v>
      </c>
      <c r="S107" t="b">
        <v>1</v>
      </c>
      <c r="T107">
        <v>0.67142857099999997</v>
      </c>
      <c r="U107">
        <v>105</v>
      </c>
      <c r="V107">
        <f>Table1[[#This Row],[orig_m]]+Table1[[#This Row],[orig_n]]+Table1[[#This Row],[orig_k]]-2</f>
        <v>94</v>
      </c>
      <c r="W107">
        <f>Table1[[#This Row],[Dense Baseline]]-Table1[[#This Row],[cycles]]</f>
        <v>47</v>
      </c>
      <c r="X107">
        <f>(Table1[[#This Row],[eff_macs]]/Table1[[#This Row],[cycles]])*0.07</f>
        <v>9.9608510638297876</v>
      </c>
      <c r="Y107">
        <f>(Table1[[#This Row],[orig_macs]]/Table1[[#This Row],[cycles]])*0.07</f>
        <v>97.606808510638302</v>
      </c>
      <c r="Z107">
        <f>(Table1[[#This Row],[Dense-Equivalent Throughput (GOPS)]] / IF(Table1[[#This Row],[config]]=0,144781,7618)) * 1000</f>
        <v>0.67416863062582999</v>
      </c>
      <c r="AA107">
        <f>(Table1[[#This Row],[Dense-Equivalent Throughput (GOPS)]] / 654.74 )/ IF(Table1[[#This Row],[config]]=0, 42381, 7618) * 10^9</f>
        <v>3517.5480508842406</v>
      </c>
      <c r="AB107">
        <f>IF(Table1[[#This Row],[config]]=0, 2860, 2210) * (Table1[[#This Row],[cycles]] / 70) / 1000</f>
        <v>1.9202857142857142</v>
      </c>
    </row>
    <row r="108" spans="1:28" x14ac:dyDescent="0.25">
      <c r="A108" t="s">
        <v>20</v>
      </c>
      <c r="B108" t="s">
        <v>23</v>
      </c>
      <c r="C108">
        <v>2</v>
      </c>
      <c r="D108">
        <v>11</v>
      </c>
      <c r="E108">
        <v>32</v>
      </c>
      <c r="F108">
        <v>32</v>
      </c>
      <c r="G108">
        <v>32</v>
      </c>
      <c r="H108">
        <v>22</v>
      </c>
      <c r="I108">
        <v>20</v>
      </c>
      <c r="J108">
        <v>8</v>
      </c>
      <c r="K108">
        <v>0</v>
      </c>
      <c r="L108">
        <v>32</v>
      </c>
      <c r="M108">
        <v>0.83589999999999998</v>
      </c>
      <c r="N108">
        <v>65536</v>
      </c>
      <c r="O108">
        <v>7040</v>
      </c>
      <c r="P108">
        <v>0.89259999999999995</v>
      </c>
      <c r="Q108">
        <v>48</v>
      </c>
      <c r="R108">
        <v>60.1</v>
      </c>
      <c r="S108" t="b">
        <v>1</v>
      </c>
      <c r="T108">
        <v>0.68571428599999995</v>
      </c>
      <c r="U108">
        <v>106</v>
      </c>
      <c r="V108">
        <f>Table1[[#This Row],[orig_m]]+Table1[[#This Row],[orig_n]]+Table1[[#This Row],[orig_k]]-2</f>
        <v>94</v>
      </c>
      <c r="W108">
        <f>Table1[[#This Row],[Dense Baseline]]-Table1[[#This Row],[cycles]]</f>
        <v>46</v>
      </c>
      <c r="X108">
        <f>(Table1[[#This Row],[eff_macs]]/Table1[[#This Row],[cycles]])*0.07</f>
        <v>10.266666666666667</v>
      </c>
      <c r="Y108">
        <f>(Table1[[#This Row],[orig_macs]]/Table1[[#This Row],[cycles]])*0.07</f>
        <v>95.573333333333338</v>
      </c>
      <c r="Z108">
        <f>(Table1[[#This Row],[Dense-Equivalent Throughput (GOPS)]] / IF(Table1[[#This Row],[config]]=0,144781,7618)) * 1000</f>
        <v>0.66012345082112533</v>
      </c>
      <c r="AA108">
        <f>(Table1[[#This Row],[Dense-Equivalent Throughput (GOPS)]] / 654.74 )/ IF(Table1[[#This Row],[config]]=0, 42381, 7618) * 10^9</f>
        <v>3444.2657998241525</v>
      </c>
      <c r="AB108">
        <f>IF(Table1[[#This Row],[config]]=0, 2860, 2210) * (Table1[[#This Row],[cycles]] / 70) / 1000</f>
        <v>1.9611428571428571</v>
      </c>
    </row>
    <row r="109" spans="1:28" x14ac:dyDescent="0.25">
      <c r="A109" t="s">
        <v>20</v>
      </c>
      <c r="B109" t="s">
        <v>23</v>
      </c>
      <c r="C109">
        <v>2</v>
      </c>
      <c r="D109">
        <v>12</v>
      </c>
      <c r="E109">
        <v>32</v>
      </c>
      <c r="F109">
        <v>32</v>
      </c>
      <c r="G109">
        <v>32</v>
      </c>
      <c r="H109">
        <v>22</v>
      </c>
      <c r="I109">
        <v>13</v>
      </c>
      <c r="J109">
        <v>8</v>
      </c>
      <c r="K109">
        <v>0</v>
      </c>
      <c r="L109">
        <v>32</v>
      </c>
      <c r="M109">
        <v>0.86329999999999996</v>
      </c>
      <c r="N109">
        <v>65536</v>
      </c>
      <c r="O109">
        <v>4576</v>
      </c>
      <c r="P109">
        <v>0.93020000000000003</v>
      </c>
      <c r="Q109">
        <v>41</v>
      </c>
      <c r="R109">
        <v>48.5</v>
      </c>
      <c r="S109" t="b">
        <v>1</v>
      </c>
      <c r="T109">
        <v>0.58571428599999997</v>
      </c>
      <c r="U109">
        <v>107</v>
      </c>
      <c r="V109">
        <f>Table1[[#This Row],[orig_m]]+Table1[[#This Row],[orig_n]]+Table1[[#This Row],[orig_k]]-2</f>
        <v>94</v>
      </c>
      <c r="W109">
        <f>Table1[[#This Row],[Dense Baseline]]-Table1[[#This Row],[cycles]]</f>
        <v>53</v>
      </c>
      <c r="X109">
        <f>(Table1[[#This Row],[eff_macs]]/Table1[[#This Row],[cycles]])*0.07</f>
        <v>7.812682926829269</v>
      </c>
      <c r="Y109">
        <f>(Table1[[#This Row],[orig_macs]]/Table1[[#This Row],[cycles]])*0.07</f>
        <v>111.89073170731709</v>
      </c>
      <c r="Z109">
        <f>(Table1[[#This Row],[Dense-Equivalent Throughput (GOPS)]] / IF(Table1[[#This Row],[config]]=0,144781,7618)) * 1000</f>
        <v>0.77282745461985403</v>
      </c>
      <c r="AA109">
        <f>(Table1[[#This Row],[Dense-Equivalent Throughput (GOPS)]] / 654.74 )/ IF(Table1[[#This Row],[config]]=0, 42381, 7618) * 10^9</f>
        <v>4032.3111802819349</v>
      </c>
      <c r="AB109">
        <f>IF(Table1[[#This Row],[config]]=0, 2860, 2210) * (Table1[[#This Row],[cycles]] / 70) / 1000</f>
        <v>1.6751428571428573</v>
      </c>
    </row>
    <row r="110" spans="1:28" x14ac:dyDescent="0.25">
      <c r="A110" t="s">
        <v>20</v>
      </c>
      <c r="B110" t="s">
        <v>23</v>
      </c>
      <c r="C110">
        <v>2</v>
      </c>
      <c r="D110">
        <v>13</v>
      </c>
      <c r="E110">
        <v>32</v>
      </c>
      <c r="F110">
        <v>32</v>
      </c>
      <c r="G110">
        <v>32</v>
      </c>
      <c r="H110">
        <v>28</v>
      </c>
      <c r="I110">
        <v>16</v>
      </c>
      <c r="J110">
        <v>9</v>
      </c>
      <c r="K110">
        <v>0</v>
      </c>
      <c r="L110">
        <v>32</v>
      </c>
      <c r="M110">
        <v>0.80659999999999998</v>
      </c>
      <c r="N110">
        <v>65536</v>
      </c>
      <c r="O110">
        <v>8064</v>
      </c>
      <c r="P110">
        <v>0.877</v>
      </c>
      <c r="Q110">
        <v>51</v>
      </c>
      <c r="R110">
        <v>37.700000000000003</v>
      </c>
      <c r="S110" t="b">
        <v>1</v>
      </c>
      <c r="T110">
        <v>0.72857142900000005</v>
      </c>
      <c r="U110">
        <v>108</v>
      </c>
      <c r="V110">
        <f>Table1[[#This Row],[orig_m]]+Table1[[#This Row],[orig_n]]+Table1[[#This Row],[orig_k]]-2</f>
        <v>94</v>
      </c>
      <c r="W110">
        <f>Table1[[#This Row],[Dense Baseline]]-Table1[[#This Row],[cycles]]</f>
        <v>43</v>
      </c>
      <c r="X110">
        <f>(Table1[[#This Row],[eff_macs]]/Table1[[#This Row],[cycles]])*0.07</f>
        <v>11.068235294117649</v>
      </c>
      <c r="Y110">
        <f>(Table1[[#This Row],[orig_macs]]/Table1[[#This Row],[cycles]])*0.07</f>
        <v>89.951372549019609</v>
      </c>
      <c r="Z110">
        <f>(Table1[[#This Row],[Dense-Equivalent Throughput (GOPS)]] / IF(Table1[[#This Row],[config]]=0,144781,7618)) * 1000</f>
        <v>0.62129265959635316</v>
      </c>
      <c r="AA110">
        <f>(Table1[[#This Row],[Dense-Equivalent Throughput (GOPS)]] / 654.74 )/ IF(Table1[[#This Row],[config]]=0, 42381, 7618) * 10^9</f>
        <v>3241.6619292462606</v>
      </c>
      <c r="AB110">
        <f>IF(Table1[[#This Row],[config]]=0, 2860, 2210) * (Table1[[#This Row],[cycles]] / 70) / 1000</f>
        <v>2.0837142857142856</v>
      </c>
    </row>
    <row r="111" spans="1:28" x14ac:dyDescent="0.25">
      <c r="A111" t="s">
        <v>20</v>
      </c>
      <c r="B111" t="s">
        <v>23</v>
      </c>
      <c r="C111">
        <v>2</v>
      </c>
      <c r="D111">
        <v>14</v>
      </c>
      <c r="E111">
        <v>32</v>
      </c>
      <c r="F111">
        <v>32</v>
      </c>
      <c r="G111">
        <v>32</v>
      </c>
      <c r="H111">
        <v>28</v>
      </c>
      <c r="I111">
        <v>17</v>
      </c>
      <c r="J111">
        <v>9</v>
      </c>
      <c r="K111">
        <v>0</v>
      </c>
      <c r="L111">
        <v>32</v>
      </c>
      <c r="M111">
        <v>0.80220000000000002</v>
      </c>
      <c r="N111">
        <v>65536</v>
      </c>
      <c r="O111">
        <v>8568</v>
      </c>
      <c r="P111">
        <v>0.86929999999999996</v>
      </c>
      <c r="Q111">
        <v>52</v>
      </c>
      <c r="R111">
        <v>72.099999999999994</v>
      </c>
      <c r="S111" t="b">
        <v>1</v>
      </c>
      <c r="T111">
        <v>0.74285714300000005</v>
      </c>
      <c r="U111">
        <v>109</v>
      </c>
      <c r="V111">
        <f>Table1[[#This Row],[orig_m]]+Table1[[#This Row],[orig_n]]+Table1[[#This Row],[orig_k]]-2</f>
        <v>94</v>
      </c>
      <c r="W111">
        <f>Table1[[#This Row],[Dense Baseline]]-Table1[[#This Row],[cycles]]</f>
        <v>42</v>
      </c>
      <c r="X111">
        <f>(Table1[[#This Row],[eff_macs]]/Table1[[#This Row],[cycles]])*0.07</f>
        <v>11.533846153846156</v>
      </c>
      <c r="Y111">
        <f>(Table1[[#This Row],[orig_macs]]/Table1[[#This Row],[cycles]])*0.07</f>
        <v>88.221538461538472</v>
      </c>
      <c r="Z111">
        <f>(Table1[[#This Row],[Dense-Equivalent Throughput (GOPS)]] / IF(Table1[[#This Row],[config]]=0,144781,7618)) * 1000</f>
        <v>0.60934472383488492</v>
      </c>
      <c r="AA111">
        <f>(Table1[[#This Row],[Dense-Equivalent Throughput (GOPS)]] / 654.74 )/ IF(Table1[[#This Row],[config]]=0, 42381, 7618) * 10^9</f>
        <v>3179.3222767607558</v>
      </c>
      <c r="AB111">
        <f>IF(Table1[[#This Row],[config]]=0, 2860, 2210) * (Table1[[#This Row],[cycles]] / 70) / 1000</f>
        <v>2.1245714285714286</v>
      </c>
    </row>
    <row r="112" spans="1:28" x14ac:dyDescent="0.25">
      <c r="A112" t="s">
        <v>20</v>
      </c>
      <c r="B112" t="s">
        <v>23</v>
      </c>
      <c r="C112">
        <v>2</v>
      </c>
      <c r="D112">
        <v>15</v>
      </c>
      <c r="E112">
        <v>32</v>
      </c>
      <c r="F112">
        <v>32</v>
      </c>
      <c r="G112">
        <v>32</v>
      </c>
      <c r="H112">
        <v>28</v>
      </c>
      <c r="I112">
        <v>17</v>
      </c>
      <c r="J112">
        <v>9</v>
      </c>
      <c r="K112">
        <v>0</v>
      </c>
      <c r="L112">
        <v>32</v>
      </c>
      <c r="M112">
        <v>0.80220000000000002</v>
      </c>
      <c r="N112">
        <v>65536</v>
      </c>
      <c r="O112">
        <v>8568</v>
      </c>
      <c r="P112">
        <v>0.86929999999999996</v>
      </c>
      <c r="Q112">
        <v>52</v>
      </c>
      <c r="R112">
        <v>39.299999999999997</v>
      </c>
      <c r="S112" t="b">
        <v>1</v>
      </c>
      <c r="T112">
        <v>0.74285714300000005</v>
      </c>
      <c r="U112">
        <v>110</v>
      </c>
      <c r="V112">
        <f>Table1[[#This Row],[orig_m]]+Table1[[#This Row],[orig_n]]+Table1[[#This Row],[orig_k]]-2</f>
        <v>94</v>
      </c>
      <c r="W112">
        <f>Table1[[#This Row],[Dense Baseline]]-Table1[[#This Row],[cycles]]</f>
        <v>42</v>
      </c>
      <c r="X112">
        <f>(Table1[[#This Row],[eff_macs]]/Table1[[#This Row],[cycles]])*0.07</f>
        <v>11.533846153846156</v>
      </c>
      <c r="Y112">
        <f>(Table1[[#This Row],[orig_macs]]/Table1[[#This Row],[cycles]])*0.07</f>
        <v>88.221538461538472</v>
      </c>
      <c r="Z112">
        <f>(Table1[[#This Row],[Dense-Equivalent Throughput (GOPS)]] / IF(Table1[[#This Row],[config]]=0,144781,7618)) * 1000</f>
        <v>0.60934472383488492</v>
      </c>
      <c r="AA112">
        <f>(Table1[[#This Row],[Dense-Equivalent Throughput (GOPS)]] / 654.74 )/ IF(Table1[[#This Row],[config]]=0, 42381, 7618) * 10^9</f>
        <v>3179.3222767607558</v>
      </c>
      <c r="AB112">
        <f>IF(Table1[[#This Row],[config]]=0, 2860, 2210) * (Table1[[#This Row],[cycles]] / 70) / 1000</f>
        <v>2.1245714285714286</v>
      </c>
    </row>
    <row r="113" spans="1:28" x14ac:dyDescent="0.25">
      <c r="A113" t="s">
        <v>20</v>
      </c>
      <c r="B113" t="s">
        <v>23</v>
      </c>
      <c r="C113">
        <v>2</v>
      </c>
      <c r="D113">
        <v>16</v>
      </c>
      <c r="E113">
        <v>32</v>
      </c>
      <c r="F113">
        <v>32</v>
      </c>
      <c r="G113">
        <v>32</v>
      </c>
      <c r="H113">
        <v>28</v>
      </c>
      <c r="I113">
        <v>15</v>
      </c>
      <c r="J113">
        <v>9</v>
      </c>
      <c r="K113">
        <v>0</v>
      </c>
      <c r="L113">
        <v>32</v>
      </c>
      <c r="M113">
        <v>0.81100000000000005</v>
      </c>
      <c r="N113">
        <v>65536</v>
      </c>
      <c r="O113">
        <v>7560</v>
      </c>
      <c r="P113">
        <v>0.88460000000000005</v>
      </c>
      <c r="Q113">
        <v>50</v>
      </c>
      <c r="R113">
        <v>52.9</v>
      </c>
      <c r="S113" t="b">
        <v>1</v>
      </c>
      <c r="T113">
        <v>0.71428571399999996</v>
      </c>
      <c r="U113">
        <v>111</v>
      </c>
      <c r="V113">
        <f>Table1[[#This Row],[orig_m]]+Table1[[#This Row],[orig_n]]+Table1[[#This Row],[orig_k]]-2</f>
        <v>94</v>
      </c>
      <c r="W113">
        <f>Table1[[#This Row],[Dense Baseline]]-Table1[[#This Row],[cycles]]</f>
        <v>44</v>
      </c>
      <c r="X113">
        <f>(Table1[[#This Row],[eff_macs]]/Table1[[#This Row],[cycles]])*0.07</f>
        <v>10.584</v>
      </c>
      <c r="Y113">
        <f>(Table1[[#This Row],[orig_macs]]/Table1[[#This Row],[cycles]])*0.07</f>
        <v>91.750400000000013</v>
      </c>
      <c r="Z113">
        <f>(Table1[[#This Row],[Dense-Equivalent Throughput (GOPS)]] / IF(Table1[[#This Row],[config]]=0,144781,7618)) * 1000</f>
        <v>0.63371851278828029</v>
      </c>
      <c r="AA113">
        <f>(Table1[[#This Row],[Dense-Equivalent Throughput (GOPS)]] / 654.74 )/ IF(Table1[[#This Row],[config]]=0, 42381, 7618) * 10^9</f>
        <v>3306.4951678311863</v>
      </c>
      <c r="AB113">
        <f>IF(Table1[[#This Row],[config]]=0, 2860, 2210) * (Table1[[#This Row],[cycles]] / 70) / 1000</f>
        <v>2.0428571428571427</v>
      </c>
    </row>
    <row r="114" spans="1:28" x14ac:dyDescent="0.25">
      <c r="A114" t="s">
        <v>20</v>
      </c>
      <c r="B114" t="s">
        <v>23</v>
      </c>
      <c r="C114">
        <v>2</v>
      </c>
      <c r="D114">
        <v>17</v>
      </c>
      <c r="E114">
        <v>32</v>
      </c>
      <c r="F114">
        <v>32</v>
      </c>
      <c r="G114">
        <v>32</v>
      </c>
      <c r="H114">
        <v>28</v>
      </c>
      <c r="I114">
        <v>18</v>
      </c>
      <c r="J114">
        <v>9</v>
      </c>
      <c r="K114">
        <v>0</v>
      </c>
      <c r="L114">
        <v>32</v>
      </c>
      <c r="M114">
        <v>0.79790000000000005</v>
      </c>
      <c r="N114">
        <v>65536</v>
      </c>
      <c r="O114">
        <v>9072</v>
      </c>
      <c r="P114">
        <v>0.86160000000000003</v>
      </c>
      <c r="Q114">
        <v>53</v>
      </c>
      <c r="R114">
        <v>70.099999999999994</v>
      </c>
      <c r="S114" t="b">
        <v>1</v>
      </c>
      <c r="T114">
        <v>0.75714285699999995</v>
      </c>
      <c r="U114">
        <v>112</v>
      </c>
      <c r="V114">
        <f>Table1[[#This Row],[orig_m]]+Table1[[#This Row],[orig_n]]+Table1[[#This Row],[orig_k]]-2</f>
        <v>94</v>
      </c>
      <c r="W114">
        <f>Table1[[#This Row],[Dense Baseline]]-Table1[[#This Row],[cycles]]</f>
        <v>41</v>
      </c>
      <c r="X114">
        <f>(Table1[[#This Row],[eff_macs]]/Table1[[#This Row],[cycles]])*0.07</f>
        <v>11.981886792452832</v>
      </c>
      <c r="Y114">
        <f>(Table1[[#This Row],[orig_macs]]/Table1[[#This Row],[cycles]])*0.07</f>
        <v>86.556981132075478</v>
      </c>
      <c r="Z114">
        <f>(Table1[[#This Row],[Dense-Equivalent Throughput (GOPS)]] / IF(Table1[[#This Row],[config]]=0,144781,7618)) * 1000</f>
        <v>0.59784765357384928</v>
      </c>
      <c r="AA114">
        <f>(Table1[[#This Row],[Dense-Equivalent Throughput (GOPS)]] / 654.74 )/ IF(Table1[[#This Row],[config]]=0, 42381, 7618) * 10^9</f>
        <v>3119.3350639916853</v>
      </c>
      <c r="AB114">
        <f>IF(Table1[[#This Row],[config]]=0, 2860, 2210) * (Table1[[#This Row],[cycles]] / 70) / 1000</f>
        <v>2.1654285714285715</v>
      </c>
    </row>
    <row r="115" spans="1:28" x14ac:dyDescent="0.25">
      <c r="A115" t="s">
        <v>20</v>
      </c>
      <c r="B115" t="s">
        <v>23</v>
      </c>
      <c r="C115">
        <v>2</v>
      </c>
      <c r="D115">
        <v>18</v>
      </c>
      <c r="E115">
        <v>32</v>
      </c>
      <c r="F115">
        <v>32</v>
      </c>
      <c r="G115">
        <v>32</v>
      </c>
      <c r="H115">
        <v>28</v>
      </c>
      <c r="I115">
        <v>18</v>
      </c>
      <c r="J115">
        <v>9</v>
      </c>
      <c r="K115">
        <v>0</v>
      </c>
      <c r="L115">
        <v>32</v>
      </c>
      <c r="M115">
        <v>0.79790000000000005</v>
      </c>
      <c r="N115">
        <v>65536</v>
      </c>
      <c r="O115">
        <v>9072</v>
      </c>
      <c r="P115">
        <v>0.86160000000000003</v>
      </c>
      <c r="Q115">
        <v>53</v>
      </c>
      <c r="R115">
        <v>121.2</v>
      </c>
      <c r="S115" t="b">
        <v>1</v>
      </c>
      <c r="T115">
        <v>0.75714285699999995</v>
      </c>
      <c r="U115">
        <v>113</v>
      </c>
      <c r="V115">
        <f>Table1[[#This Row],[orig_m]]+Table1[[#This Row],[orig_n]]+Table1[[#This Row],[orig_k]]-2</f>
        <v>94</v>
      </c>
      <c r="W115">
        <f>Table1[[#This Row],[Dense Baseline]]-Table1[[#This Row],[cycles]]</f>
        <v>41</v>
      </c>
      <c r="X115">
        <f>(Table1[[#This Row],[eff_macs]]/Table1[[#This Row],[cycles]])*0.07</f>
        <v>11.981886792452832</v>
      </c>
      <c r="Y115">
        <f>(Table1[[#This Row],[orig_macs]]/Table1[[#This Row],[cycles]])*0.07</f>
        <v>86.556981132075478</v>
      </c>
      <c r="Z115">
        <f>(Table1[[#This Row],[Dense-Equivalent Throughput (GOPS)]] / IF(Table1[[#This Row],[config]]=0,144781,7618)) * 1000</f>
        <v>0.59784765357384928</v>
      </c>
      <c r="AA115">
        <f>(Table1[[#This Row],[Dense-Equivalent Throughput (GOPS)]] / 654.74 )/ IF(Table1[[#This Row],[config]]=0, 42381, 7618) * 10^9</f>
        <v>3119.3350639916853</v>
      </c>
      <c r="AB115">
        <f>IF(Table1[[#This Row],[config]]=0, 2860, 2210) * (Table1[[#This Row],[cycles]] / 70) / 1000</f>
        <v>2.1654285714285715</v>
      </c>
    </row>
    <row r="116" spans="1:28" x14ac:dyDescent="0.25">
      <c r="A116" t="s">
        <v>20</v>
      </c>
      <c r="B116" t="s">
        <v>23</v>
      </c>
      <c r="C116">
        <v>2</v>
      </c>
      <c r="D116">
        <v>19</v>
      </c>
      <c r="E116">
        <v>32</v>
      </c>
      <c r="F116">
        <v>32</v>
      </c>
      <c r="G116">
        <v>32</v>
      </c>
      <c r="H116">
        <v>28</v>
      </c>
      <c r="I116">
        <v>20</v>
      </c>
      <c r="J116">
        <v>9</v>
      </c>
      <c r="K116">
        <v>0</v>
      </c>
      <c r="L116">
        <v>32</v>
      </c>
      <c r="M116">
        <v>0.78910000000000002</v>
      </c>
      <c r="N116">
        <v>65536</v>
      </c>
      <c r="O116">
        <v>10080</v>
      </c>
      <c r="P116">
        <v>0.84619999999999995</v>
      </c>
      <c r="Q116">
        <v>55</v>
      </c>
      <c r="R116">
        <v>48.5</v>
      </c>
      <c r="S116" t="b">
        <v>1</v>
      </c>
      <c r="T116">
        <v>0.78571428600000004</v>
      </c>
      <c r="U116">
        <v>114</v>
      </c>
      <c r="V116">
        <f>Table1[[#This Row],[orig_m]]+Table1[[#This Row],[orig_n]]+Table1[[#This Row],[orig_k]]-2</f>
        <v>94</v>
      </c>
      <c r="W116">
        <f>Table1[[#This Row],[Dense Baseline]]-Table1[[#This Row],[cycles]]</f>
        <v>39</v>
      </c>
      <c r="X116">
        <f>(Table1[[#This Row],[eff_macs]]/Table1[[#This Row],[cycles]])*0.07</f>
        <v>12.82909090909091</v>
      </c>
      <c r="Y116">
        <f>(Table1[[#This Row],[orig_macs]]/Table1[[#This Row],[cycles]])*0.07</f>
        <v>83.409454545454551</v>
      </c>
      <c r="Z116">
        <f>(Table1[[#This Row],[Dense-Equivalent Throughput (GOPS)]] / IF(Table1[[#This Row],[config]]=0,144781,7618)) * 1000</f>
        <v>0.57610773889843669</v>
      </c>
      <c r="AA116">
        <f>(Table1[[#This Row],[Dense-Equivalent Throughput (GOPS)]] / 654.74 )/ IF(Table1[[#This Row],[config]]=0, 42381, 7618) * 10^9</f>
        <v>3005.904698028351</v>
      </c>
      <c r="AB116">
        <f>IF(Table1[[#This Row],[config]]=0, 2860, 2210) * (Table1[[#This Row],[cycles]] / 70) / 1000</f>
        <v>2.2471428571428569</v>
      </c>
    </row>
    <row r="117" spans="1:28" x14ac:dyDescent="0.25">
      <c r="A117" t="s">
        <v>20</v>
      </c>
      <c r="B117" t="s">
        <v>23</v>
      </c>
      <c r="C117">
        <v>2</v>
      </c>
      <c r="D117">
        <v>20</v>
      </c>
      <c r="E117">
        <v>32</v>
      </c>
      <c r="F117">
        <v>32</v>
      </c>
      <c r="G117">
        <v>32</v>
      </c>
      <c r="H117">
        <v>28</v>
      </c>
      <c r="I117">
        <v>21</v>
      </c>
      <c r="J117">
        <v>9</v>
      </c>
      <c r="K117">
        <v>0</v>
      </c>
      <c r="L117">
        <v>32</v>
      </c>
      <c r="M117">
        <v>0.78469999999999995</v>
      </c>
      <c r="N117">
        <v>65536</v>
      </c>
      <c r="O117">
        <v>10584</v>
      </c>
      <c r="P117">
        <v>0.83850000000000002</v>
      </c>
      <c r="Q117">
        <v>56</v>
      </c>
      <c r="R117">
        <v>49</v>
      </c>
      <c r="S117" t="b">
        <v>1</v>
      </c>
      <c r="T117">
        <v>0.8</v>
      </c>
      <c r="U117">
        <v>115</v>
      </c>
      <c r="V117">
        <f>Table1[[#This Row],[orig_m]]+Table1[[#This Row],[orig_n]]+Table1[[#This Row],[orig_k]]-2</f>
        <v>94</v>
      </c>
      <c r="W117">
        <f>Table1[[#This Row],[Dense Baseline]]-Table1[[#This Row],[cycles]]</f>
        <v>38</v>
      </c>
      <c r="X117">
        <f>(Table1[[#This Row],[eff_macs]]/Table1[[#This Row],[cycles]])*0.07</f>
        <v>13.23</v>
      </c>
      <c r="Y117">
        <f>(Table1[[#This Row],[orig_macs]]/Table1[[#This Row],[cycles]])*0.07</f>
        <v>81.92</v>
      </c>
      <c r="Z117">
        <f>(Table1[[#This Row],[Dense-Equivalent Throughput (GOPS)]] / IF(Table1[[#This Row],[config]]=0,144781,7618)) * 1000</f>
        <v>0.56582010070382172</v>
      </c>
      <c r="AA117">
        <f>(Table1[[#This Row],[Dense-Equivalent Throughput (GOPS)]] / 654.74 )/ IF(Table1[[#This Row],[config]]=0, 42381, 7618) * 10^9</f>
        <v>2952.2278284207018</v>
      </c>
      <c r="AB117">
        <f>IF(Table1[[#This Row],[config]]=0, 2860, 2210) * (Table1[[#This Row],[cycles]] / 70) / 1000</f>
        <v>2.2879999999999998</v>
      </c>
    </row>
    <row r="118" spans="1:28" x14ac:dyDescent="0.25">
      <c r="A118" t="s">
        <v>20</v>
      </c>
      <c r="B118" t="s">
        <v>23</v>
      </c>
      <c r="C118">
        <v>2</v>
      </c>
      <c r="D118">
        <v>21</v>
      </c>
      <c r="E118">
        <v>32</v>
      </c>
      <c r="F118">
        <v>32</v>
      </c>
      <c r="G118">
        <v>32</v>
      </c>
      <c r="H118">
        <v>28</v>
      </c>
      <c r="I118">
        <v>17</v>
      </c>
      <c r="J118">
        <v>9</v>
      </c>
      <c r="K118">
        <v>0</v>
      </c>
      <c r="L118">
        <v>32</v>
      </c>
      <c r="M118">
        <v>0.80220000000000002</v>
      </c>
      <c r="N118">
        <v>65536</v>
      </c>
      <c r="O118">
        <v>8568</v>
      </c>
      <c r="P118">
        <v>0.86929999999999996</v>
      </c>
      <c r="Q118">
        <v>52</v>
      </c>
      <c r="R118">
        <v>107.5</v>
      </c>
      <c r="S118" t="b">
        <v>1</v>
      </c>
      <c r="T118">
        <v>0.74285714300000005</v>
      </c>
      <c r="U118">
        <v>116</v>
      </c>
      <c r="V118">
        <f>Table1[[#This Row],[orig_m]]+Table1[[#This Row],[orig_n]]+Table1[[#This Row],[orig_k]]-2</f>
        <v>94</v>
      </c>
      <c r="W118">
        <f>Table1[[#This Row],[Dense Baseline]]-Table1[[#This Row],[cycles]]</f>
        <v>42</v>
      </c>
      <c r="X118">
        <f>(Table1[[#This Row],[eff_macs]]/Table1[[#This Row],[cycles]])*0.07</f>
        <v>11.533846153846156</v>
      </c>
      <c r="Y118">
        <f>(Table1[[#This Row],[orig_macs]]/Table1[[#This Row],[cycles]])*0.07</f>
        <v>88.221538461538472</v>
      </c>
      <c r="Z118">
        <f>(Table1[[#This Row],[Dense-Equivalent Throughput (GOPS)]] / IF(Table1[[#This Row],[config]]=0,144781,7618)) * 1000</f>
        <v>0.60934472383488492</v>
      </c>
      <c r="AA118">
        <f>(Table1[[#This Row],[Dense-Equivalent Throughput (GOPS)]] / 654.74 )/ IF(Table1[[#This Row],[config]]=0, 42381, 7618) * 10^9</f>
        <v>3179.3222767607558</v>
      </c>
      <c r="AB118">
        <f>IF(Table1[[#This Row],[config]]=0, 2860, 2210) * (Table1[[#This Row],[cycles]] / 70) / 1000</f>
        <v>2.1245714285714286</v>
      </c>
    </row>
    <row r="119" spans="1:28" x14ac:dyDescent="0.25">
      <c r="A119" t="s">
        <v>20</v>
      </c>
      <c r="B119" t="s">
        <v>23</v>
      </c>
      <c r="C119">
        <v>2</v>
      </c>
      <c r="D119">
        <v>22</v>
      </c>
      <c r="E119">
        <v>32</v>
      </c>
      <c r="F119">
        <v>32</v>
      </c>
      <c r="G119">
        <v>32</v>
      </c>
      <c r="H119">
        <v>28</v>
      </c>
      <c r="I119">
        <v>19</v>
      </c>
      <c r="J119">
        <v>9</v>
      </c>
      <c r="K119">
        <v>0</v>
      </c>
      <c r="L119">
        <v>32</v>
      </c>
      <c r="M119">
        <v>0.79349999999999998</v>
      </c>
      <c r="N119">
        <v>65536</v>
      </c>
      <c r="O119">
        <v>9576</v>
      </c>
      <c r="P119">
        <v>0.85389999999999999</v>
      </c>
      <c r="Q119">
        <v>54</v>
      </c>
      <c r="R119">
        <v>111.4</v>
      </c>
      <c r="S119" t="b">
        <v>1</v>
      </c>
      <c r="T119">
        <v>0.77142857099999995</v>
      </c>
      <c r="U119">
        <v>117</v>
      </c>
      <c r="V119">
        <f>Table1[[#This Row],[orig_m]]+Table1[[#This Row],[orig_n]]+Table1[[#This Row],[orig_k]]-2</f>
        <v>94</v>
      </c>
      <c r="W119">
        <f>Table1[[#This Row],[Dense Baseline]]-Table1[[#This Row],[cycles]]</f>
        <v>40</v>
      </c>
      <c r="X119">
        <f>(Table1[[#This Row],[eff_macs]]/Table1[[#This Row],[cycles]])*0.07</f>
        <v>12.413333333333336</v>
      </c>
      <c r="Y119">
        <f>(Table1[[#This Row],[orig_macs]]/Table1[[#This Row],[cycles]])*0.07</f>
        <v>84.954074074074072</v>
      </c>
      <c r="Z119">
        <f>(Table1[[#This Row],[Dense-Equivalent Throughput (GOPS)]] / IF(Table1[[#This Row],[config]]=0,144781,7618)) * 1000</f>
        <v>0.58677640072988901</v>
      </c>
      <c r="AA119">
        <f>(Table1[[#This Row],[Dense-Equivalent Throughput (GOPS)]] / 654.74 )/ IF(Table1[[#This Row],[config]]=0, 42381, 7618) * 10^9</f>
        <v>3061.5695998436909</v>
      </c>
      <c r="AB119">
        <f>IF(Table1[[#This Row],[config]]=0, 2860, 2210) * (Table1[[#This Row],[cycles]] / 70) / 1000</f>
        <v>2.2062857142857144</v>
      </c>
    </row>
    <row r="120" spans="1:28" x14ac:dyDescent="0.25">
      <c r="A120" t="s">
        <v>20</v>
      </c>
      <c r="B120" t="s">
        <v>23</v>
      </c>
      <c r="C120">
        <v>2</v>
      </c>
      <c r="D120">
        <v>23</v>
      </c>
      <c r="E120">
        <v>32</v>
      </c>
      <c r="F120">
        <v>32</v>
      </c>
      <c r="G120">
        <v>32</v>
      </c>
      <c r="H120">
        <v>28</v>
      </c>
      <c r="I120">
        <v>20</v>
      </c>
      <c r="J120">
        <v>9</v>
      </c>
      <c r="K120">
        <v>0</v>
      </c>
      <c r="L120">
        <v>32</v>
      </c>
      <c r="M120">
        <v>0.78910000000000002</v>
      </c>
      <c r="N120">
        <v>65536</v>
      </c>
      <c r="O120">
        <v>10080</v>
      </c>
      <c r="P120">
        <v>0.84619999999999995</v>
      </c>
      <c r="Q120">
        <v>55</v>
      </c>
      <c r="R120">
        <v>123.8</v>
      </c>
      <c r="S120" t="b">
        <v>1</v>
      </c>
      <c r="T120">
        <v>0.78571428600000004</v>
      </c>
      <c r="U120">
        <v>118</v>
      </c>
      <c r="V120">
        <f>Table1[[#This Row],[orig_m]]+Table1[[#This Row],[orig_n]]+Table1[[#This Row],[orig_k]]-2</f>
        <v>94</v>
      </c>
      <c r="W120">
        <f>Table1[[#This Row],[Dense Baseline]]-Table1[[#This Row],[cycles]]</f>
        <v>39</v>
      </c>
      <c r="X120">
        <f>(Table1[[#This Row],[eff_macs]]/Table1[[#This Row],[cycles]])*0.07</f>
        <v>12.82909090909091</v>
      </c>
      <c r="Y120">
        <f>(Table1[[#This Row],[orig_macs]]/Table1[[#This Row],[cycles]])*0.07</f>
        <v>83.409454545454551</v>
      </c>
      <c r="Z120">
        <f>(Table1[[#This Row],[Dense-Equivalent Throughput (GOPS)]] / IF(Table1[[#This Row],[config]]=0,144781,7618)) * 1000</f>
        <v>0.57610773889843669</v>
      </c>
      <c r="AA120">
        <f>(Table1[[#This Row],[Dense-Equivalent Throughput (GOPS)]] / 654.74 )/ IF(Table1[[#This Row],[config]]=0, 42381, 7618) * 10^9</f>
        <v>3005.904698028351</v>
      </c>
      <c r="AB120">
        <f>IF(Table1[[#This Row],[config]]=0, 2860, 2210) * (Table1[[#This Row],[cycles]] / 70) / 1000</f>
        <v>2.2471428571428569</v>
      </c>
    </row>
    <row r="121" spans="1:28" x14ac:dyDescent="0.25">
      <c r="A121" t="s">
        <v>20</v>
      </c>
      <c r="B121" t="s">
        <v>23</v>
      </c>
      <c r="C121">
        <v>2</v>
      </c>
      <c r="D121">
        <v>24</v>
      </c>
      <c r="E121">
        <v>32</v>
      </c>
      <c r="F121">
        <v>32</v>
      </c>
      <c r="G121">
        <v>32</v>
      </c>
      <c r="H121">
        <v>28</v>
      </c>
      <c r="I121">
        <v>13</v>
      </c>
      <c r="J121">
        <v>9</v>
      </c>
      <c r="K121">
        <v>0</v>
      </c>
      <c r="L121">
        <v>32</v>
      </c>
      <c r="M121">
        <v>0.81979999999999997</v>
      </c>
      <c r="N121">
        <v>65536</v>
      </c>
      <c r="O121">
        <v>6552</v>
      </c>
      <c r="P121">
        <v>0.9</v>
      </c>
      <c r="Q121">
        <v>48</v>
      </c>
      <c r="R121">
        <v>66.599999999999994</v>
      </c>
      <c r="S121" t="b">
        <v>1</v>
      </c>
      <c r="T121">
        <v>0.68571428599999995</v>
      </c>
      <c r="U121">
        <v>119</v>
      </c>
      <c r="V121">
        <f>Table1[[#This Row],[orig_m]]+Table1[[#This Row],[orig_n]]+Table1[[#This Row],[orig_k]]-2</f>
        <v>94</v>
      </c>
      <c r="W121">
        <f>Table1[[#This Row],[Dense Baseline]]-Table1[[#This Row],[cycles]]</f>
        <v>46</v>
      </c>
      <c r="X121">
        <f>(Table1[[#This Row],[eff_macs]]/Table1[[#This Row],[cycles]])*0.07</f>
        <v>9.5550000000000015</v>
      </c>
      <c r="Y121">
        <f>(Table1[[#This Row],[orig_macs]]/Table1[[#This Row],[cycles]])*0.07</f>
        <v>95.573333333333338</v>
      </c>
      <c r="Z121">
        <f>(Table1[[#This Row],[Dense-Equivalent Throughput (GOPS)]] / IF(Table1[[#This Row],[config]]=0,144781,7618)) * 1000</f>
        <v>0.66012345082112533</v>
      </c>
      <c r="AA121">
        <f>(Table1[[#This Row],[Dense-Equivalent Throughput (GOPS)]] / 654.74 )/ IF(Table1[[#This Row],[config]]=0, 42381, 7618) * 10^9</f>
        <v>3444.2657998241525</v>
      </c>
      <c r="AB121">
        <f>IF(Table1[[#This Row],[config]]=0, 2860, 2210) * (Table1[[#This Row],[cycles]] / 70) / 1000</f>
        <v>1.9611428571428571</v>
      </c>
    </row>
    <row r="122" spans="1:28" x14ac:dyDescent="0.25">
      <c r="A122" t="s">
        <v>20</v>
      </c>
      <c r="B122" t="s">
        <v>23</v>
      </c>
      <c r="C122">
        <v>2</v>
      </c>
      <c r="D122">
        <v>25</v>
      </c>
      <c r="E122">
        <v>32</v>
      </c>
      <c r="F122">
        <v>32</v>
      </c>
      <c r="G122">
        <v>32</v>
      </c>
      <c r="H122">
        <v>18</v>
      </c>
      <c r="I122">
        <v>16</v>
      </c>
      <c r="J122">
        <v>9</v>
      </c>
      <c r="K122">
        <v>0</v>
      </c>
      <c r="L122">
        <v>32</v>
      </c>
      <c r="M122">
        <v>0.85060000000000002</v>
      </c>
      <c r="N122">
        <v>65536</v>
      </c>
      <c r="O122">
        <v>5184</v>
      </c>
      <c r="P122">
        <v>0.92090000000000005</v>
      </c>
      <c r="Q122">
        <v>41</v>
      </c>
      <c r="R122">
        <v>47</v>
      </c>
      <c r="S122" t="b">
        <v>1</v>
      </c>
      <c r="T122">
        <v>0.58571428599999997</v>
      </c>
      <c r="U122">
        <v>120</v>
      </c>
      <c r="V122">
        <f>Table1[[#This Row],[orig_m]]+Table1[[#This Row],[orig_n]]+Table1[[#This Row],[orig_k]]-2</f>
        <v>94</v>
      </c>
      <c r="W122">
        <f>Table1[[#This Row],[Dense Baseline]]-Table1[[#This Row],[cycles]]</f>
        <v>53</v>
      </c>
      <c r="X122">
        <f>(Table1[[#This Row],[eff_macs]]/Table1[[#This Row],[cycles]])*0.07</f>
        <v>8.8507317073170739</v>
      </c>
      <c r="Y122">
        <f>(Table1[[#This Row],[orig_macs]]/Table1[[#This Row],[cycles]])*0.07</f>
        <v>111.89073170731709</v>
      </c>
      <c r="Z122">
        <f>(Table1[[#This Row],[Dense-Equivalent Throughput (GOPS)]] / IF(Table1[[#This Row],[config]]=0,144781,7618)) * 1000</f>
        <v>0.77282745461985403</v>
      </c>
      <c r="AA122">
        <f>(Table1[[#This Row],[Dense-Equivalent Throughput (GOPS)]] / 654.74 )/ IF(Table1[[#This Row],[config]]=0, 42381, 7618) * 10^9</f>
        <v>4032.3111802819349</v>
      </c>
      <c r="AB122">
        <f>IF(Table1[[#This Row],[config]]=0, 2860, 2210) * (Table1[[#This Row],[cycles]] / 70) / 1000</f>
        <v>1.6751428571428573</v>
      </c>
    </row>
    <row r="123" spans="1:28" x14ac:dyDescent="0.25">
      <c r="A123" t="s">
        <v>20</v>
      </c>
      <c r="B123" t="s">
        <v>23</v>
      </c>
      <c r="C123">
        <v>2</v>
      </c>
      <c r="D123">
        <v>26</v>
      </c>
      <c r="E123">
        <v>32</v>
      </c>
      <c r="F123">
        <v>32</v>
      </c>
      <c r="G123">
        <v>32</v>
      </c>
      <c r="H123">
        <v>18</v>
      </c>
      <c r="I123">
        <v>17</v>
      </c>
      <c r="J123">
        <v>9</v>
      </c>
      <c r="K123">
        <v>0</v>
      </c>
      <c r="L123">
        <v>32</v>
      </c>
      <c r="M123">
        <v>0.84619999999999995</v>
      </c>
      <c r="N123">
        <v>65536</v>
      </c>
      <c r="O123">
        <v>5508</v>
      </c>
      <c r="P123">
        <v>0.91600000000000004</v>
      </c>
      <c r="Q123">
        <v>42</v>
      </c>
      <c r="R123">
        <v>60.9</v>
      </c>
      <c r="S123" t="b">
        <v>1</v>
      </c>
      <c r="T123">
        <v>0.6</v>
      </c>
      <c r="U123">
        <v>121</v>
      </c>
      <c r="V123">
        <f>Table1[[#This Row],[orig_m]]+Table1[[#This Row],[orig_n]]+Table1[[#This Row],[orig_k]]-2</f>
        <v>94</v>
      </c>
      <c r="W123">
        <f>Table1[[#This Row],[Dense Baseline]]-Table1[[#This Row],[cycles]]</f>
        <v>52</v>
      </c>
      <c r="X123">
        <f>(Table1[[#This Row],[eff_macs]]/Table1[[#This Row],[cycles]])*0.07</f>
        <v>9.18</v>
      </c>
      <c r="Y123">
        <f>(Table1[[#This Row],[orig_macs]]/Table1[[#This Row],[cycles]])*0.07</f>
        <v>109.22666666666667</v>
      </c>
      <c r="Z123">
        <f>(Table1[[#This Row],[Dense-Equivalent Throughput (GOPS)]] / IF(Table1[[#This Row],[config]]=0,144781,7618)) * 1000</f>
        <v>0.75442680093842884</v>
      </c>
      <c r="AA123">
        <f>(Table1[[#This Row],[Dense-Equivalent Throughput (GOPS)]] / 654.74 )/ IF(Table1[[#This Row],[config]]=0, 42381, 7618) * 10^9</f>
        <v>3936.3037712276032</v>
      </c>
      <c r="AB123">
        <f>IF(Table1[[#This Row],[config]]=0, 2860, 2210) * (Table1[[#This Row],[cycles]] / 70) / 1000</f>
        <v>1.716</v>
      </c>
    </row>
    <row r="124" spans="1:28" x14ac:dyDescent="0.25">
      <c r="A124" t="s">
        <v>20</v>
      </c>
      <c r="B124" t="s">
        <v>23</v>
      </c>
      <c r="C124">
        <v>2</v>
      </c>
      <c r="D124">
        <v>27</v>
      </c>
      <c r="E124">
        <v>32</v>
      </c>
      <c r="F124">
        <v>32</v>
      </c>
      <c r="G124">
        <v>32</v>
      </c>
      <c r="H124">
        <v>18</v>
      </c>
      <c r="I124">
        <v>17</v>
      </c>
      <c r="J124">
        <v>9</v>
      </c>
      <c r="K124">
        <v>0</v>
      </c>
      <c r="L124">
        <v>32</v>
      </c>
      <c r="M124">
        <v>0.84619999999999995</v>
      </c>
      <c r="N124">
        <v>65536</v>
      </c>
      <c r="O124">
        <v>5508</v>
      </c>
      <c r="P124">
        <v>0.91600000000000004</v>
      </c>
      <c r="Q124">
        <v>42</v>
      </c>
      <c r="R124">
        <v>180.7</v>
      </c>
      <c r="S124" t="b">
        <v>1</v>
      </c>
      <c r="T124">
        <v>0.6</v>
      </c>
      <c r="U124">
        <v>122</v>
      </c>
      <c r="V124">
        <f>Table1[[#This Row],[orig_m]]+Table1[[#This Row],[orig_n]]+Table1[[#This Row],[orig_k]]-2</f>
        <v>94</v>
      </c>
      <c r="W124">
        <f>Table1[[#This Row],[Dense Baseline]]-Table1[[#This Row],[cycles]]</f>
        <v>52</v>
      </c>
      <c r="X124">
        <f>(Table1[[#This Row],[eff_macs]]/Table1[[#This Row],[cycles]])*0.07</f>
        <v>9.18</v>
      </c>
      <c r="Y124">
        <f>(Table1[[#This Row],[orig_macs]]/Table1[[#This Row],[cycles]])*0.07</f>
        <v>109.22666666666667</v>
      </c>
      <c r="Z124">
        <f>(Table1[[#This Row],[Dense-Equivalent Throughput (GOPS)]] / IF(Table1[[#This Row],[config]]=0,144781,7618)) * 1000</f>
        <v>0.75442680093842884</v>
      </c>
      <c r="AA124">
        <f>(Table1[[#This Row],[Dense-Equivalent Throughput (GOPS)]] / 654.74 )/ IF(Table1[[#This Row],[config]]=0, 42381, 7618) * 10^9</f>
        <v>3936.3037712276032</v>
      </c>
      <c r="AB124">
        <f>IF(Table1[[#This Row],[config]]=0, 2860, 2210) * (Table1[[#This Row],[cycles]] / 70) / 1000</f>
        <v>1.716</v>
      </c>
    </row>
    <row r="125" spans="1:28" x14ac:dyDescent="0.25">
      <c r="A125" t="s">
        <v>20</v>
      </c>
      <c r="B125" t="s">
        <v>23</v>
      </c>
      <c r="C125">
        <v>2</v>
      </c>
      <c r="D125">
        <v>28</v>
      </c>
      <c r="E125">
        <v>32</v>
      </c>
      <c r="F125">
        <v>32</v>
      </c>
      <c r="G125">
        <v>32</v>
      </c>
      <c r="H125">
        <v>18</v>
      </c>
      <c r="I125">
        <v>15</v>
      </c>
      <c r="J125">
        <v>9</v>
      </c>
      <c r="K125">
        <v>0</v>
      </c>
      <c r="L125">
        <v>32</v>
      </c>
      <c r="M125">
        <v>0.85499999999999998</v>
      </c>
      <c r="N125">
        <v>65536</v>
      </c>
      <c r="O125">
        <v>4860</v>
      </c>
      <c r="P125">
        <v>0.92579999999999996</v>
      </c>
      <c r="Q125">
        <v>40</v>
      </c>
      <c r="R125">
        <v>176.3</v>
      </c>
      <c r="S125" t="b">
        <v>1</v>
      </c>
      <c r="T125">
        <v>0.571428571</v>
      </c>
      <c r="U125">
        <v>123</v>
      </c>
      <c r="V125">
        <f>Table1[[#This Row],[orig_m]]+Table1[[#This Row],[orig_n]]+Table1[[#This Row],[orig_k]]-2</f>
        <v>94</v>
      </c>
      <c r="W125">
        <f>Table1[[#This Row],[Dense Baseline]]-Table1[[#This Row],[cycles]]</f>
        <v>54</v>
      </c>
      <c r="X125">
        <f>(Table1[[#This Row],[eff_macs]]/Table1[[#This Row],[cycles]])*0.07</f>
        <v>8.5050000000000008</v>
      </c>
      <c r="Y125">
        <f>(Table1[[#This Row],[orig_macs]]/Table1[[#This Row],[cycles]])*0.07</f>
        <v>114.68800000000002</v>
      </c>
      <c r="Z125">
        <f>(Table1[[#This Row],[Dense-Equivalent Throughput (GOPS)]] / IF(Table1[[#This Row],[config]]=0,144781,7618)) * 1000</f>
        <v>0.79214814098535036</v>
      </c>
      <c r="AA125">
        <f>(Table1[[#This Row],[Dense-Equivalent Throughput (GOPS)]] / 654.74 )/ IF(Table1[[#This Row],[config]]=0, 42381, 7618) * 10^9</f>
        <v>4133.1189597889834</v>
      </c>
      <c r="AB125">
        <f>IF(Table1[[#This Row],[config]]=0, 2860, 2210) * (Table1[[#This Row],[cycles]] / 70) / 1000</f>
        <v>1.6342857142857141</v>
      </c>
    </row>
    <row r="126" spans="1:28" x14ac:dyDescent="0.25">
      <c r="A126" t="s">
        <v>20</v>
      </c>
      <c r="B126" t="s">
        <v>23</v>
      </c>
      <c r="C126">
        <v>2</v>
      </c>
      <c r="D126">
        <v>29</v>
      </c>
      <c r="E126">
        <v>32</v>
      </c>
      <c r="F126">
        <v>32</v>
      </c>
      <c r="G126">
        <v>32</v>
      </c>
      <c r="H126">
        <v>18</v>
      </c>
      <c r="I126">
        <v>18</v>
      </c>
      <c r="J126">
        <v>9</v>
      </c>
      <c r="K126">
        <v>0</v>
      </c>
      <c r="L126">
        <v>32</v>
      </c>
      <c r="M126">
        <v>0.84179999999999999</v>
      </c>
      <c r="N126">
        <v>65536</v>
      </c>
      <c r="O126">
        <v>5832</v>
      </c>
      <c r="P126">
        <v>0.91100000000000003</v>
      </c>
      <c r="Q126">
        <v>43</v>
      </c>
      <c r="R126">
        <v>60.4</v>
      </c>
      <c r="S126" t="b">
        <v>1</v>
      </c>
      <c r="T126">
        <v>0.61428571399999998</v>
      </c>
      <c r="U126">
        <v>124</v>
      </c>
      <c r="V126">
        <f>Table1[[#This Row],[orig_m]]+Table1[[#This Row],[orig_n]]+Table1[[#This Row],[orig_k]]-2</f>
        <v>94</v>
      </c>
      <c r="W126">
        <f>Table1[[#This Row],[Dense Baseline]]-Table1[[#This Row],[cycles]]</f>
        <v>51</v>
      </c>
      <c r="X126">
        <f>(Table1[[#This Row],[eff_macs]]/Table1[[#This Row],[cycles]])*0.07</f>
        <v>9.4939534883720942</v>
      </c>
      <c r="Y126">
        <f>(Table1[[#This Row],[orig_macs]]/Table1[[#This Row],[cycles]])*0.07</f>
        <v>106.68651162790698</v>
      </c>
      <c r="Z126">
        <f>(Table1[[#This Row],[Dense-Equivalent Throughput (GOPS)]] / IF(Table1[[#This Row],[config]]=0,144781,7618)) * 1000</f>
        <v>0.73688199161427936</v>
      </c>
      <c r="AA126">
        <f>(Table1[[#This Row],[Dense-Equivalent Throughput (GOPS)]] / 654.74 )/ IF(Table1[[#This Row],[config]]=0, 42381, 7618) * 10^9</f>
        <v>3844.7618230595185</v>
      </c>
      <c r="AB126">
        <f>IF(Table1[[#This Row],[config]]=0, 2860, 2210) * (Table1[[#This Row],[cycles]] / 70) / 1000</f>
        <v>1.7568571428571429</v>
      </c>
    </row>
    <row r="127" spans="1:28" x14ac:dyDescent="0.25">
      <c r="A127" t="s">
        <v>20</v>
      </c>
      <c r="B127" t="s">
        <v>23</v>
      </c>
      <c r="C127">
        <v>2</v>
      </c>
      <c r="D127">
        <v>30</v>
      </c>
      <c r="E127">
        <v>32</v>
      </c>
      <c r="F127">
        <v>32</v>
      </c>
      <c r="G127">
        <v>32</v>
      </c>
      <c r="H127">
        <v>18</v>
      </c>
      <c r="I127">
        <v>18</v>
      </c>
      <c r="J127">
        <v>9</v>
      </c>
      <c r="K127">
        <v>0</v>
      </c>
      <c r="L127">
        <v>32</v>
      </c>
      <c r="M127">
        <v>0.84179999999999999</v>
      </c>
      <c r="N127">
        <v>65536</v>
      </c>
      <c r="O127">
        <v>5832</v>
      </c>
      <c r="P127">
        <v>0.91100000000000003</v>
      </c>
      <c r="Q127">
        <v>43</v>
      </c>
      <c r="R127">
        <v>50.2</v>
      </c>
      <c r="S127" t="b">
        <v>1</v>
      </c>
      <c r="T127">
        <v>0.61428571399999998</v>
      </c>
      <c r="U127">
        <v>125</v>
      </c>
      <c r="V127">
        <f>Table1[[#This Row],[orig_m]]+Table1[[#This Row],[orig_n]]+Table1[[#This Row],[orig_k]]-2</f>
        <v>94</v>
      </c>
      <c r="W127">
        <f>Table1[[#This Row],[Dense Baseline]]-Table1[[#This Row],[cycles]]</f>
        <v>51</v>
      </c>
      <c r="X127">
        <f>(Table1[[#This Row],[eff_macs]]/Table1[[#This Row],[cycles]])*0.07</f>
        <v>9.4939534883720942</v>
      </c>
      <c r="Y127">
        <f>(Table1[[#This Row],[orig_macs]]/Table1[[#This Row],[cycles]])*0.07</f>
        <v>106.68651162790698</v>
      </c>
      <c r="Z127">
        <f>(Table1[[#This Row],[Dense-Equivalent Throughput (GOPS)]] / IF(Table1[[#This Row],[config]]=0,144781,7618)) * 1000</f>
        <v>0.73688199161427936</v>
      </c>
      <c r="AA127">
        <f>(Table1[[#This Row],[Dense-Equivalent Throughput (GOPS)]] / 654.74 )/ IF(Table1[[#This Row],[config]]=0, 42381, 7618) * 10^9</f>
        <v>3844.7618230595185</v>
      </c>
      <c r="AB127">
        <f>IF(Table1[[#This Row],[config]]=0, 2860, 2210) * (Table1[[#This Row],[cycles]] / 70) / 1000</f>
        <v>1.7568571428571429</v>
      </c>
    </row>
    <row r="128" spans="1:28" x14ac:dyDescent="0.25">
      <c r="A128" t="s">
        <v>20</v>
      </c>
      <c r="B128" t="s">
        <v>23</v>
      </c>
      <c r="C128">
        <v>2</v>
      </c>
      <c r="D128">
        <v>31</v>
      </c>
      <c r="E128">
        <v>32</v>
      </c>
      <c r="F128">
        <v>32</v>
      </c>
      <c r="G128">
        <v>32</v>
      </c>
      <c r="H128">
        <v>18</v>
      </c>
      <c r="I128">
        <v>20</v>
      </c>
      <c r="J128">
        <v>9</v>
      </c>
      <c r="K128">
        <v>0</v>
      </c>
      <c r="L128">
        <v>32</v>
      </c>
      <c r="M128">
        <v>0.83299999999999996</v>
      </c>
      <c r="N128">
        <v>65536</v>
      </c>
      <c r="O128">
        <v>6480</v>
      </c>
      <c r="P128">
        <v>0.90110000000000001</v>
      </c>
      <c r="Q128">
        <v>45</v>
      </c>
      <c r="R128">
        <v>45.1</v>
      </c>
      <c r="S128" t="b">
        <v>1</v>
      </c>
      <c r="T128">
        <v>0.64285714299999996</v>
      </c>
      <c r="U128">
        <v>126</v>
      </c>
      <c r="V128">
        <f>Table1[[#This Row],[orig_m]]+Table1[[#This Row],[orig_n]]+Table1[[#This Row],[orig_k]]-2</f>
        <v>94</v>
      </c>
      <c r="W128">
        <f>Table1[[#This Row],[Dense Baseline]]-Table1[[#This Row],[cycles]]</f>
        <v>49</v>
      </c>
      <c r="X128">
        <f>(Table1[[#This Row],[eff_macs]]/Table1[[#This Row],[cycles]])*0.07</f>
        <v>10.080000000000002</v>
      </c>
      <c r="Y128">
        <f>(Table1[[#This Row],[orig_macs]]/Table1[[#This Row],[cycles]])*0.07</f>
        <v>101.9448888888889</v>
      </c>
      <c r="Z128">
        <f>(Table1[[#This Row],[Dense-Equivalent Throughput (GOPS)]] / IF(Table1[[#This Row],[config]]=0,144781,7618)) * 1000</f>
        <v>0.70413168087586697</v>
      </c>
      <c r="AA128">
        <f>(Table1[[#This Row],[Dense-Equivalent Throughput (GOPS)]] / 654.74 )/ IF(Table1[[#This Row],[config]]=0, 42381, 7618) * 10^9</f>
        <v>3673.8835198124293</v>
      </c>
      <c r="AB128">
        <f>IF(Table1[[#This Row],[config]]=0, 2860, 2210) * (Table1[[#This Row],[cycles]] / 70) / 1000</f>
        <v>1.8385714285714287</v>
      </c>
    </row>
    <row r="129" spans="1:28" x14ac:dyDescent="0.25">
      <c r="A129" t="s">
        <v>20</v>
      </c>
      <c r="B129" t="s">
        <v>23</v>
      </c>
      <c r="C129">
        <v>2</v>
      </c>
      <c r="D129">
        <v>32</v>
      </c>
      <c r="E129">
        <v>32</v>
      </c>
      <c r="F129">
        <v>32</v>
      </c>
      <c r="G129">
        <v>32</v>
      </c>
      <c r="H129">
        <v>18</v>
      </c>
      <c r="I129">
        <v>21</v>
      </c>
      <c r="J129">
        <v>9</v>
      </c>
      <c r="K129">
        <v>0</v>
      </c>
      <c r="L129">
        <v>32</v>
      </c>
      <c r="M129">
        <v>0.8286</v>
      </c>
      <c r="N129">
        <v>65536</v>
      </c>
      <c r="O129">
        <v>6804</v>
      </c>
      <c r="P129">
        <v>0.8962</v>
      </c>
      <c r="Q129">
        <v>46</v>
      </c>
      <c r="R129">
        <v>41.2</v>
      </c>
      <c r="S129" t="b">
        <v>1</v>
      </c>
      <c r="T129">
        <v>0.65714285699999997</v>
      </c>
      <c r="U129">
        <v>127</v>
      </c>
      <c r="V129">
        <f>Table1[[#This Row],[orig_m]]+Table1[[#This Row],[orig_n]]+Table1[[#This Row],[orig_k]]-2</f>
        <v>94</v>
      </c>
      <c r="W129">
        <f>Table1[[#This Row],[Dense Baseline]]-Table1[[#This Row],[cycles]]</f>
        <v>48</v>
      </c>
      <c r="X129">
        <f>(Table1[[#This Row],[eff_macs]]/Table1[[#This Row],[cycles]])*0.07</f>
        <v>10.353913043478261</v>
      </c>
      <c r="Y129">
        <f>(Table1[[#This Row],[orig_macs]]/Table1[[#This Row],[cycles]])*0.07</f>
        <v>99.728695652173926</v>
      </c>
      <c r="Z129">
        <f>(Table1[[#This Row],[Dense-Equivalent Throughput (GOPS)]] / IF(Table1[[#This Row],[config]]=0,144781,7618)) * 1000</f>
        <v>0.68882447042204387</v>
      </c>
      <c r="AA129">
        <f>(Table1[[#This Row],[Dense-Equivalent Throughput (GOPS)]] / 654.74 )/ IF(Table1[[#This Row],[config]]=0, 42381, 7618) * 10^9</f>
        <v>3594.0164867730291</v>
      </c>
      <c r="AB129">
        <f>IF(Table1[[#This Row],[config]]=0, 2860, 2210) * (Table1[[#This Row],[cycles]] / 70) / 1000</f>
        <v>1.8794285714285712</v>
      </c>
    </row>
    <row r="130" spans="1:28" x14ac:dyDescent="0.25">
      <c r="A130" t="s">
        <v>20</v>
      </c>
      <c r="B130" t="s">
        <v>23</v>
      </c>
      <c r="C130">
        <v>2</v>
      </c>
      <c r="D130">
        <v>33</v>
      </c>
      <c r="E130">
        <v>32</v>
      </c>
      <c r="F130">
        <v>32</v>
      </c>
      <c r="G130">
        <v>32</v>
      </c>
      <c r="H130">
        <v>18</v>
      </c>
      <c r="I130">
        <v>17</v>
      </c>
      <c r="J130">
        <v>9</v>
      </c>
      <c r="K130">
        <v>0</v>
      </c>
      <c r="L130">
        <v>32</v>
      </c>
      <c r="M130">
        <v>0.84619999999999995</v>
      </c>
      <c r="N130">
        <v>65536</v>
      </c>
      <c r="O130">
        <v>5508</v>
      </c>
      <c r="P130">
        <v>0.91600000000000004</v>
      </c>
      <c r="Q130">
        <v>42</v>
      </c>
      <c r="R130">
        <v>144.4</v>
      </c>
      <c r="S130" t="b">
        <v>1</v>
      </c>
      <c r="T130">
        <v>0.6</v>
      </c>
      <c r="U130">
        <v>128</v>
      </c>
      <c r="V130">
        <f>Table1[[#This Row],[orig_m]]+Table1[[#This Row],[orig_n]]+Table1[[#This Row],[orig_k]]-2</f>
        <v>94</v>
      </c>
      <c r="W130">
        <f>Table1[[#This Row],[Dense Baseline]]-Table1[[#This Row],[cycles]]</f>
        <v>52</v>
      </c>
      <c r="X130">
        <f>(Table1[[#This Row],[eff_macs]]/Table1[[#This Row],[cycles]])*0.07</f>
        <v>9.18</v>
      </c>
      <c r="Y130">
        <f>(Table1[[#This Row],[orig_macs]]/Table1[[#This Row],[cycles]])*0.07</f>
        <v>109.22666666666667</v>
      </c>
      <c r="Z130">
        <f>(Table1[[#This Row],[Dense-Equivalent Throughput (GOPS)]] / IF(Table1[[#This Row],[config]]=0,144781,7618)) * 1000</f>
        <v>0.75442680093842884</v>
      </c>
      <c r="AA130">
        <f>(Table1[[#This Row],[Dense-Equivalent Throughput (GOPS)]] / 654.74 )/ IF(Table1[[#This Row],[config]]=0, 42381, 7618) * 10^9</f>
        <v>3936.3037712276032</v>
      </c>
      <c r="AB130">
        <f>IF(Table1[[#This Row],[config]]=0, 2860, 2210) * (Table1[[#This Row],[cycles]] / 70) / 1000</f>
        <v>1.716</v>
      </c>
    </row>
    <row r="131" spans="1:28" x14ac:dyDescent="0.25">
      <c r="A131" t="s">
        <v>20</v>
      </c>
      <c r="B131" t="s">
        <v>23</v>
      </c>
      <c r="C131">
        <v>2</v>
      </c>
      <c r="D131">
        <v>34</v>
      </c>
      <c r="E131">
        <v>32</v>
      </c>
      <c r="F131">
        <v>32</v>
      </c>
      <c r="G131">
        <v>32</v>
      </c>
      <c r="H131">
        <v>18</v>
      </c>
      <c r="I131">
        <v>19</v>
      </c>
      <c r="J131">
        <v>9</v>
      </c>
      <c r="K131">
        <v>0</v>
      </c>
      <c r="L131">
        <v>32</v>
      </c>
      <c r="M131">
        <v>0.83740000000000003</v>
      </c>
      <c r="N131">
        <v>65536</v>
      </c>
      <c r="O131">
        <v>6156</v>
      </c>
      <c r="P131">
        <v>0.90610000000000002</v>
      </c>
      <c r="Q131">
        <v>44</v>
      </c>
      <c r="R131">
        <v>39.700000000000003</v>
      </c>
      <c r="S131" t="b">
        <v>1</v>
      </c>
      <c r="T131">
        <v>0.62857142899999996</v>
      </c>
      <c r="U131">
        <v>129</v>
      </c>
      <c r="V131">
        <f>Table1[[#This Row],[orig_m]]+Table1[[#This Row],[orig_n]]+Table1[[#This Row],[orig_k]]-2</f>
        <v>94</v>
      </c>
      <c r="W131">
        <f>Table1[[#This Row],[Dense Baseline]]-Table1[[#This Row],[cycles]]</f>
        <v>50</v>
      </c>
      <c r="X131">
        <f>(Table1[[#This Row],[eff_macs]]/Table1[[#This Row],[cycles]])*0.07</f>
        <v>9.7936363636363648</v>
      </c>
      <c r="Y131">
        <f>(Table1[[#This Row],[orig_macs]]/Table1[[#This Row],[cycles]])*0.07</f>
        <v>104.2618181818182</v>
      </c>
      <c r="Z131">
        <f>(Table1[[#This Row],[Dense-Equivalent Throughput (GOPS)]] / IF(Table1[[#This Row],[config]]=0,144781,7618)) * 1000</f>
        <v>0.72013467362304584</v>
      </c>
      <c r="AA131">
        <f>(Table1[[#This Row],[Dense-Equivalent Throughput (GOPS)]] / 654.74 )/ IF(Table1[[#This Row],[config]]=0, 42381, 7618) * 10^9</f>
        <v>3757.3808725354393</v>
      </c>
      <c r="AB131">
        <f>IF(Table1[[#This Row],[config]]=0, 2860, 2210) * (Table1[[#This Row],[cycles]] / 70) / 1000</f>
        <v>1.7977142857142858</v>
      </c>
    </row>
    <row r="132" spans="1:28" x14ac:dyDescent="0.25">
      <c r="A132" t="s">
        <v>20</v>
      </c>
      <c r="B132" t="s">
        <v>23</v>
      </c>
      <c r="C132">
        <v>2</v>
      </c>
      <c r="D132">
        <v>35</v>
      </c>
      <c r="E132">
        <v>32</v>
      </c>
      <c r="F132">
        <v>32</v>
      </c>
      <c r="G132">
        <v>32</v>
      </c>
      <c r="H132">
        <v>18</v>
      </c>
      <c r="I132">
        <v>20</v>
      </c>
      <c r="J132">
        <v>9</v>
      </c>
      <c r="K132">
        <v>0</v>
      </c>
      <c r="L132">
        <v>32</v>
      </c>
      <c r="M132">
        <v>0.83299999999999996</v>
      </c>
      <c r="N132">
        <v>65536</v>
      </c>
      <c r="O132">
        <v>6480</v>
      </c>
      <c r="P132">
        <v>0.90110000000000001</v>
      </c>
      <c r="Q132">
        <v>45</v>
      </c>
      <c r="R132">
        <v>60.1</v>
      </c>
      <c r="S132" t="b">
        <v>1</v>
      </c>
      <c r="T132">
        <v>0.64285714299999996</v>
      </c>
      <c r="U132">
        <v>130</v>
      </c>
      <c r="V132">
        <f>Table1[[#This Row],[orig_m]]+Table1[[#This Row],[orig_n]]+Table1[[#This Row],[orig_k]]-2</f>
        <v>94</v>
      </c>
      <c r="W132">
        <f>Table1[[#This Row],[Dense Baseline]]-Table1[[#This Row],[cycles]]</f>
        <v>49</v>
      </c>
      <c r="X132">
        <f>(Table1[[#This Row],[eff_macs]]/Table1[[#This Row],[cycles]])*0.07</f>
        <v>10.080000000000002</v>
      </c>
      <c r="Y132">
        <f>(Table1[[#This Row],[orig_macs]]/Table1[[#This Row],[cycles]])*0.07</f>
        <v>101.9448888888889</v>
      </c>
      <c r="Z132">
        <f>(Table1[[#This Row],[Dense-Equivalent Throughput (GOPS)]] / IF(Table1[[#This Row],[config]]=0,144781,7618)) * 1000</f>
        <v>0.70413168087586697</v>
      </c>
      <c r="AA132">
        <f>(Table1[[#This Row],[Dense-Equivalent Throughput (GOPS)]] / 654.74 )/ IF(Table1[[#This Row],[config]]=0, 42381, 7618) * 10^9</f>
        <v>3673.8835198124293</v>
      </c>
      <c r="AB132">
        <f>IF(Table1[[#This Row],[config]]=0, 2860, 2210) * (Table1[[#This Row],[cycles]] / 70) / 1000</f>
        <v>1.8385714285714287</v>
      </c>
    </row>
    <row r="133" spans="1:28" x14ac:dyDescent="0.25">
      <c r="A133" t="s">
        <v>20</v>
      </c>
      <c r="B133" t="s">
        <v>23</v>
      </c>
      <c r="C133">
        <v>2</v>
      </c>
      <c r="D133">
        <v>36</v>
      </c>
      <c r="E133">
        <v>32</v>
      </c>
      <c r="F133">
        <v>32</v>
      </c>
      <c r="G133">
        <v>32</v>
      </c>
      <c r="H133">
        <v>18</v>
      </c>
      <c r="I133">
        <v>13</v>
      </c>
      <c r="J133">
        <v>9</v>
      </c>
      <c r="K133">
        <v>0</v>
      </c>
      <c r="L133">
        <v>32</v>
      </c>
      <c r="M133">
        <v>0.86380000000000001</v>
      </c>
      <c r="N133">
        <v>65536</v>
      </c>
      <c r="O133">
        <v>4212</v>
      </c>
      <c r="P133">
        <v>0.93569999999999998</v>
      </c>
      <c r="Q133">
        <v>38</v>
      </c>
      <c r="R133">
        <v>162.19999999999999</v>
      </c>
      <c r="S133" t="b">
        <v>1</v>
      </c>
      <c r="T133">
        <v>0.54285714299999999</v>
      </c>
      <c r="U133">
        <v>131</v>
      </c>
      <c r="V133">
        <f>Table1[[#This Row],[orig_m]]+Table1[[#This Row],[orig_n]]+Table1[[#This Row],[orig_k]]-2</f>
        <v>94</v>
      </c>
      <c r="W133">
        <f>Table1[[#This Row],[Dense Baseline]]-Table1[[#This Row],[cycles]]</f>
        <v>56</v>
      </c>
      <c r="X133">
        <f>(Table1[[#This Row],[eff_macs]]/Table1[[#This Row],[cycles]])*0.07</f>
        <v>7.7589473684210528</v>
      </c>
      <c r="Y133">
        <f>(Table1[[#This Row],[orig_macs]]/Table1[[#This Row],[cycles]])*0.07</f>
        <v>120.7242105263158</v>
      </c>
      <c r="Z133">
        <f>(Table1[[#This Row],[Dense-Equivalent Throughput (GOPS)]] / IF(Table1[[#This Row],[config]]=0,144781,7618)) * 1000</f>
        <v>0.83384014840563192</v>
      </c>
      <c r="AA133">
        <f>(Table1[[#This Row],[Dense-Equivalent Throughput (GOPS)]] / 654.74 )/ IF(Table1[[#This Row],[config]]=0, 42381, 7618) * 10^9</f>
        <v>4350.6515366199819</v>
      </c>
      <c r="AB133">
        <f>IF(Table1[[#This Row],[config]]=0, 2860, 2210) * (Table1[[#This Row],[cycles]] / 70) / 1000</f>
        <v>1.5525714285714285</v>
      </c>
    </row>
    <row r="134" spans="1:28" x14ac:dyDescent="0.25">
      <c r="A134" t="s">
        <v>20</v>
      </c>
      <c r="B134" t="s">
        <v>23</v>
      </c>
      <c r="C134">
        <v>2</v>
      </c>
      <c r="D134">
        <v>37</v>
      </c>
      <c r="E134">
        <v>32</v>
      </c>
      <c r="F134">
        <v>32</v>
      </c>
      <c r="G134">
        <v>32</v>
      </c>
      <c r="H134">
        <v>10</v>
      </c>
      <c r="I134">
        <v>16</v>
      </c>
      <c r="J134">
        <v>6</v>
      </c>
      <c r="K134">
        <v>1</v>
      </c>
      <c r="L134">
        <v>16</v>
      </c>
      <c r="M134">
        <v>0.92379999999999995</v>
      </c>
      <c r="N134">
        <v>65536</v>
      </c>
      <c r="O134">
        <v>1920</v>
      </c>
      <c r="P134">
        <v>0.97070000000000001</v>
      </c>
      <c r="Q134">
        <v>30</v>
      </c>
      <c r="R134">
        <v>70.8</v>
      </c>
      <c r="S134" t="b">
        <v>1</v>
      </c>
      <c r="T134">
        <v>0.428571429</v>
      </c>
      <c r="U134">
        <v>132</v>
      </c>
      <c r="V134">
        <f>Table1[[#This Row],[orig_m]]+Table1[[#This Row],[orig_n]]+Table1[[#This Row],[orig_k]]-2</f>
        <v>94</v>
      </c>
      <c r="W134">
        <f>Table1[[#This Row],[Dense Baseline]]-Table1[[#This Row],[cycles]]</f>
        <v>64</v>
      </c>
      <c r="X134">
        <f>(Table1[[#This Row],[eff_macs]]/Table1[[#This Row],[cycles]])*0.07</f>
        <v>4.4800000000000004</v>
      </c>
      <c r="Y134">
        <f>(Table1[[#This Row],[orig_macs]]/Table1[[#This Row],[cycles]])*0.07</f>
        <v>152.91733333333335</v>
      </c>
      <c r="Z134">
        <f>(Table1[[#This Row],[Dense-Equivalent Throughput (GOPS)]] / IF(Table1[[#This Row],[config]]=0,144781,7618)) * 1000</f>
        <v>20.073160059508183</v>
      </c>
      <c r="AA134">
        <f>(Table1[[#This Row],[Dense-Equivalent Throughput (GOPS)]] / 654.74 )/ IF(Table1[[#This Row],[config]]=0, 42381, 7618) * 10^9</f>
        <v>30658.215565733244</v>
      </c>
      <c r="AB134">
        <f>IF(Table1[[#This Row],[config]]=0, 2860, 2210) * (Table1[[#This Row],[cycles]] / 70) / 1000</f>
        <v>0.94714285714285706</v>
      </c>
    </row>
    <row r="135" spans="1:28" x14ac:dyDescent="0.25">
      <c r="A135" t="s">
        <v>20</v>
      </c>
      <c r="B135" t="s">
        <v>23</v>
      </c>
      <c r="C135">
        <v>2</v>
      </c>
      <c r="D135">
        <v>38</v>
      </c>
      <c r="E135">
        <v>32</v>
      </c>
      <c r="F135">
        <v>32</v>
      </c>
      <c r="G135">
        <v>32</v>
      </c>
      <c r="H135">
        <v>10</v>
      </c>
      <c r="I135">
        <v>17</v>
      </c>
      <c r="J135">
        <v>6</v>
      </c>
      <c r="K135">
        <v>0</v>
      </c>
      <c r="L135">
        <v>32</v>
      </c>
      <c r="M135">
        <v>0.92090000000000005</v>
      </c>
      <c r="N135">
        <v>65536</v>
      </c>
      <c r="O135">
        <v>2040</v>
      </c>
      <c r="P135">
        <v>0.96889999999999998</v>
      </c>
      <c r="Q135">
        <v>31</v>
      </c>
      <c r="R135">
        <v>48.8</v>
      </c>
      <c r="S135" t="b">
        <v>1</v>
      </c>
      <c r="T135">
        <v>0.44285714300000001</v>
      </c>
      <c r="U135">
        <v>133</v>
      </c>
      <c r="V135">
        <f>Table1[[#This Row],[orig_m]]+Table1[[#This Row],[orig_n]]+Table1[[#This Row],[orig_k]]-2</f>
        <v>94</v>
      </c>
      <c r="W135">
        <f>Table1[[#This Row],[Dense Baseline]]-Table1[[#This Row],[cycles]]</f>
        <v>63</v>
      </c>
      <c r="X135">
        <f>(Table1[[#This Row],[eff_macs]]/Table1[[#This Row],[cycles]])*0.07</f>
        <v>4.6064516129032267</v>
      </c>
      <c r="Y135">
        <f>(Table1[[#This Row],[orig_macs]]/Table1[[#This Row],[cycles]])*0.07</f>
        <v>147.98451612903227</v>
      </c>
      <c r="Z135">
        <f>(Table1[[#This Row],[Dense-Equivalent Throughput (GOPS)]] / IF(Table1[[#This Row],[config]]=0,144781,7618)) * 1000</f>
        <v>1.0221266335294843</v>
      </c>
      <c r="AA135">
        <f>(Table1[[#This Row],[Dense-Equivalent Throughput (GOPS)]] / 654.74 )/ IF(Table1[[#This Row],[config]]=0, 42381, 7618) * 10^9</f>
        <v>5333.0567223083654</v>
      </c>
      <c r="AB135">
        <f>IF(Table1[[#This Row],[config]]=0, 2860, 2210) * (Table1[[#This Row],[cycles]] / 70) / 1000</f>
        <v>1.2665714285714285</v>
      </c>
    </row>
    <row r="136" spans="1:28" x14ac:dyDescent="0.25">
      <c r="A136" t="s">
        <v>20</v>
      </c>
      <c r="B136" t="s">
        <v>23</v>
      </c>
      <c r="C136">
        <v>2</v>
      </c>
      <c r="D136">
        <v>39</v>
      </c>
      <c r="E136">
        <v>32</v>
      </c>
      <c r="F136">
        <v>32</v>
      </c>
      <c r="G136">
        <v>32</v>
      </c>
      <c r="H136">
        <v>10</v>
      </c>
      <c r="I136">
        <v>17</v>
      </c>
      <c r="J136">
        <v>6</v>
      </c>
      <c r="K136">
        <v>0</v>
      </c>
      <c r="L136">
        <v>32</v>
      </c>
      <c r="M136">
        <v>0.92090000000000005</v>
      </c>
      <c r="N136">
        <v>65536</v>
      </c>
      <c r="O136">
        <v>2040</v>
      </c>
      <c r="P136">
        <v>0.96889999999999998</v>
      </c>
      <c r="Q136">
        <v>31</v>
      </c>
      <c r="R136">
        <v>48.2</v>
      </c>
      <c r="S136" t="b">
        <v>1</v>
      </c>
      <c r="T136">
        <v>0.44285714300000001</v>
      </c>
      <c r="U136">
        <v>134</v>
      </c>
      <c r="V136">
        <f>Table1[[#This Row],[orig_m]]+Table1[[#This Row],[orig_n]]+Table1[[#This Row],[orig_k]]-2</f>
        <v>94</v>
      </c>
      <c r="W136">
        <f>Table1[[#This Row],[Dense Baseline]]-Table1[[#This Row],[cycles]]</f>
        <v>63</v>
      </c>
      <c r="X136">
        <f>(Table1[[#This Row],[eff_macs]]/Table1[[#This Row],[cycles]])*0.07</f>
        <v>4.6064516129032267</v>
      </c>
      <c r="Y136">
        <f>(Table1[[#This Row],[orig_macs]]/Table1[[#This Row],[cycles]])*0.07</f>
        <v>147.98451612903227</v>
      </c>
      <c r="Z136">
        <f>(Table1[[#This Row],[Dense-Equivalent Throughput (GOPS)]] / IF(Table1[[#This Row],[config]]=0,144781,7618)) * 1000</f>
        <v>1.0221266335294843</v>
      </c>
      <c r="AA136">
        <f>(Table1[[#This Row],[Dense-Equivalent Throughput (GOPS)]] / 654.74 )/ IF(Table1[[#This Row],[config]]=0, 42381, 7618) * 10^9</f>
        <v>5333.0567223083654</v>
      </c>
      <c r="AB136">
        <f>IF(Table1[[#This Row],[config]]=0, 2860, 2210) * (Table1[[#This Row],[cycles]] / 70) / 1000</f>
        <v>1.2665714285714285</v>
      </c>
    </row>
    <row r="137" spans="1:28" x14ac:dyDescent="0.25">
      <c r="A137" t="s">
        <v>20</v>
      </c>
      <c r="B137" t="s">
        <v>23</v>
      </c>
      <c r="C137">
        <v>2</v>
      </c>
      <c r="D137">
        <v>40</v>
      </c>
      <c r="E137">
        <v>32</v>
      </c>
      <c r="F137">
        <v>32</v>
      </c>
      <c r="G137">
        <v>32</v>
      </c>
      <c r="H137">
        <v>10</v>
      </c>
      <c r="I137">
        <v>15</v>
      </c>
      <c r="J137">
        <v>6</v>
      </c>
      <c r="K137">
        <v>1</v>
      </c>
      <c r="L137">
        <v>16</v>
      </c>
      <c r="M137">
        <v>0.92679999999999996</v>
      </c>
      <c r="N137">
        <v>65536</v>
      </c>
      <c r="O137">
        <v>1800</v>
      </c>
      <c r="P137">
        <v>0.97250000000000003</v>
      </c>
      <c r="Q137">
        <v>29</v>
      </c>
      <c r="R137">
        <v>48.6</v>
      </c>
      <c r="S137" t="b">
        <v>1</v>
      </c>
      <c r="T137">
        <v>0.41428571400000003</v>
      </c>
      <c r="U137">
        <v>135</v>
      </c>
      <c r="V137">
        <f>Table1[[#This Row],[orig_m]]+Table1[[#This Row],[orig_n]]+Table1[[#This Row],[orig_k]]-2</f>
        <v>94</v>
      </c>
      <c r="W137">
        <f>Table1[[#This Row],[Dense Baseline]]-Table1[[#This Row],[cycles]]</f>
        <v>65</v>
      </c>
      <c r="X137">
        <f>(Table1[[#This Row],[eff_macs]]/Table1[[#This Row],[cycles]])*0.07</f>
        <v>4.3448275862068968</v>
      </c>
      <c r="Y137">
        <f>(Table1[[#This Row],[orig_macs]]/Table1[[#This Row],[cycles]])*0.07</f>
        <v>158.19034482758622</v>
      </c>
      <c r="Z137">
        <f>(Table1[[#This Row],[Dense-Equivalent Throughput (GOPS)]] / IF(Table1[[#This Row],[config]]=0,144781,7618)) * 1000</f>
        <v>20.76533799259467</v>
      </c>
      <c r="AA137">
        <f>(Table1[[#This Row],[Dense-Equivalent Throughput (GOPS)]] / 654.74 )/ IF(Table1[[#This Row],[config]]=0, 42381, 7618) * 10^9</f>
        <v>31715.395412827493</v>
      </c>
      <c r="AB137">
        <f>IF(Table1[[#This Row],[config]]=0, 2860, 2210) * (Table1[[#This Row],[cycles]] / 70) / 1000</f>
        <v>0.9155714285714287</v>
      </c>
    </row>
    <row r="138" spans="1:28" x14ac:dyDescent="0.25">
      <c r="A138" t="s">
        <v>20</v>
      </c>
      <c r="B138" t="s">
        <v>23</v>
      </c>
      <c r="C138">
        <v>2</v>
      </c>
      <c r="D138">
        <v>41</v>
      </c>
      <c r="E138">
        <v>32</v>
      </c>
      <c r="F138">
        <v>32</v>
      </c>
      <c r="G138">
        <v>32</v>
      </c>
      <c r="H138">
        <v>10</v>
      </c>
      <c r="I138">
        <v>18</v>
      </c>
      <c r="J138">
        <v>6</v>
      </c>
      <c r="K138">
        <v>0</v>
      </c>
      <c r="L138">
        <v>32</v>
      </c>
      <c r="M138">
        <v>0.91800000000000004</v>
      </c>
      <c r="N138">
        <v>65536</v>
      </c>
      <c r="O138">
        <v>2160</v>
      </c>
      <c r="P138">
        <v>0.96699999999999997</v>
      </c>
      <c r="Q138">
        <v>32</v>
      </c>
      <c r="R138">
        <v>57.2</v>
      </c>
      <c r="S138" t="b">
        <v>1</v>
      </c>
      <c r="T138">
        <v>0.45714285700000001</v>
      </c>
      <c r="U138">
        <v>136</v>
      </c>
      <c r="V138">
        <f>Table1[[#This Row],[orig_m]]+Table1[[#This Row],[orig_n]]+Table1[[#This Row],[orig_k]]-2</f>
        <v>94</v>
      </c>
      <c r="W138">
        <f>Table1[[#This Row],[Dense Baseline]]-Table1[[#This Row],[cycles]]</f>
        <v>62</v>
      </c>
      <c r="X138">
        <f>(Table1[[#This Row],[eff_macs]]/Table1[[#This Row],[cycles]])*0.07</f>
        <v>4.7250000000000005</v>
      </c>
      <c r="Y138">
        <f>(Table1[[#This Row],[orig_macs]]/Table1[[#This Row],[cycles]])*0.07</f>
        <v>143.36000000000001</v>
      </c>
      <c r="Z138">
        <f>(Table1[[#This Row],[Dense-Equivalent Throughput (GOPS)]] / IF(Table1[[#This Row],[config]]=0,144781,7618)) * 1000</f>
        <v>0.99018517623168789</v>
      </c>
      <c r="AA138">
        <f>(Table1[[#This Row],[Dense-Equivalent Throughput (GOPS)]] / 654.74 )/ IF(Table1[[#This Row],[config]]=0, 42381, 7618) * 10^9</f>
        <v>5166.398699736229</v>
      </c>
      <c r="AB138">
        <f>IF(Table1[[#This Row],[config]]=0, 2860, 2210) * (Table1[[#This Row],[cycles]] / 70) / 1000</f>
        <v>1.3074285714285714</v>
      </c>
    </row>
    <row r="139" spans="1:28" x14ac:dyDescent="0.25">
      <c r="A139" t="s">
        <v>20</v>
      </c>
      <c r="B139" t="s">
        <v>23</v>
      </c>
      <c r="C139">
        <v>2</v>
      </c>
      <c r="D139">
        <v>42</v>
      </c>
      <c r="E139">
        <v>32</v>
      </c>
      <c r="F139">
        <v>32</v>
      </c>
      <c r="G139">
        <v>32</v>
      </c>
      <c r="H139">
        <v>10</v>
      </c>
      <c r="I139">
        <v>18</v>
      </c>
      <c r="J139">
        <v>6</v>
      </c>
      <c r="K139">
        <v>0</v>
      </c>
      <c r="L139">
        <v>32</v>
      </c>
      <c r="M139">
        <v>0.91800000000000004</v>
      </c>
      <c r="N139">
        <v>65536</v>
      </c>
      <c r="O139">
        <v>2160</v>
      </c>
      <c r="P139">
        <v>0.96699999999999997</v>
      </c>
      <c r="Q139">
        <v>32</v>
      </c>
      <c r="R139">
        <v>39.6</v>
      </c>
      <c r="S139" t="b">
        <v>1</v>
      </c>
      <c r="T139">
        <v>0.45714285700000001</v>
      </c>
      <c r="U139">
        <v>137</v>
      </c>
      <c r="V139">
        <f>Table1[[#This Row],[orig_m]]+Table1[[#This Row],[orig_n]]+Table1[[#This Row],[orig_k]]-2</f>
        <v>94</v>
      </c>
      <c r="W139">
        <f>Table1[[#This Row],[Dense Baseline]]-Table1[[#This Row],[cycles]]</f>
        <v>62</v>
      </c>
      <c r="X139">
        <f>(Table1[[#This Row],[eff_macs]]/Table1[[#This Row],[cycles]])*0.07</f>
        <v>4.7250000000000005</v>
      </c>
      <c r="Y139">
        <f>(Table1[[#This Row],[orig_macs]]/Table1[[#This Row],[cycles]])*0.07</f>
        <v>143.36000000000001</v>
      </c>
      <c r="Z139">
        <f>(Table1[[#This Row],[Dense-Equivalent Throughput (GOPS)]] / IF(Table1[[#This Row],[config]]=0,144781,7618)) * 1000</f>
        <v>0.99018517623168789</v>
      </c>
      <c r="AA139">
        <f>(Table1[[#This Row],[Dense-Equivalent Throughput (GOPS)]] / 654.74 )/ IF(Table1[[#This Row],[config]]=0, 42381, 7618) * 10^9</f>
        <v>5166.398699736229</v>
      </c>
      <c r="AB139">
        <f>IF(Table1[[#This Row],[config]]=0, 2860, 2210) * (Table1[[#This Row],[cycles]] / 70) / 1000</f>
        <v>1.3074285714285714</v>
      </c>
    </row>
    <row r="140" spans="1:28" x14ac:dyDescent="0.25">
      <c r="A140" t="s">
        <v>20</v>
      </c>
      <c r="B140" t="s">
        <v>23</v>
      </c>
      <c r="C140">
        <v>2</v>
      </c>
      <c r="D140">
        <v>43</v>
      </c>
      <c r="E140">
        <v>32</v>
      </c>
      <c r="F140">
        <v>32</v>
      </c>
      <c r="G140">
        <v>32</v>
      </c>
      <c r="H140">
        <v>10</v>
      </c>
      <c r="I140">
        <v>20</v>
      </c>
      <c r="J140">
        <v>6</v>
      </c>
      <c r="K140">
        <v>0</v>
      </c>
      <c r="L140">
        <v>32</v>
      </c>
      <c r="M140">
        <v>0.91210000000000002</v>
      </c>
      <c r="N140">
        <v>65536</v>
      </c>
      <c r="O140">
        <v>2400</v>
      </c>
      <c r="P140">
        <v>0.96340000000000003</v>
      </c>
      <c r="Q140">
        <v>34</v>
      </c>
      <c r="R140">
        <v>220.4</v>
      </c>
      <c r="S140" t="b">
        <v>1</v>
      </c>
      <c r="T140">
        <v>0.485714286</v>
      </c>
      <c r="U140">
        <v>138</v>
      </c>
      <c r="V140">
        <f>Table1[[#This Row],[orig_m]]+Table1[[#This Row],[orig_n]]+Table1[[#This Row],[orig_k]]-2</f>
        <v>94</v>
      </c>
      <c r="W140">
        <f>Table1[[#This Row],[Dense Baseline]]-Table1[[#This Row],[cycles]]</f>
        <v>60</v>
      </c>
      <c r="X140">
        <f>(Table1[[#This Row],[eff_macs]]/Table1[[#This Row],[cycles]])*0.07</f>
        <v>4.9411764705882364</v>
      </c>
      <c r="Y140">
        <f>(Table1[[#This Row],[orig_macs]]/Table1[[#This Row],[cycles]])*0.07</f>
        <v>134.92705882352942</v>
      </c>
      <c r="Z140">
        <f>(Table1[[#This Row],[Dense-Equivalent Throughput (GOPS)]] / IF(Table1[[#This Row],[config]]=0,144781,7618)) * 1000</f>
        <v>0.93193898939452979</v>
      </c>
      <c r="AA140">
        <f>(Table1[[#This Row],[Dense-Equivalent Throughput (GOPS)]] / 654.74 )/ IF(Table1[[#This Row],[config]]=0, 42381, 7618) * 10^9</f>
        <v>4862.492893869392</v>
      </c>
      <c r="AB140">
        <f>IF(Table1[[#This Row],[config]]=0, 2860, 2210) * (Table1[[#This Row],[cycles]] / 70) / 1000</f>
        <v>1.389142857142857</v>
      </c>
    </row>
    <row r="141" spans="1:28" x14ac:dyDescent="0.25">
      <c r="A141" t="s">
        <v>20</v>
      </c>
      <c r="B141" t="s">
        <v>23</v>
      </c>
      <c r="C141">
        <v>2</v>
      </c>
      <c r="D141">
        <v>44</v>
      </c>
      <c r="E141">
        <v>32</v>
      </c>
      <c r="F141">
        <v>32</v>
      </c>
      <c r="G141">
        <v>32</v>
      </c>
      <c r="H141">
        <v>10</v>
      </c>
      <c r="I141">
        <v>21</v>
      </c>
      <c r="J141">
        <v>6</v>
      </c>
      <c r="K141">
        <v>0</v>
      </c>
      <c r="L141">
        <v>32</v>
      </c>
      <c r="M141">
        <v>0.90920000000000001</v>
      </c>
      <c r="N141">
        <v>65536</v>
      </c>
      <c r="O141">
        <v>2520</v>
      </c>
      <c r="P141">
        <v>0.96150000000000002</v>
      </c>
      <c r="Q141">
        <v>35</v>
      </c>
      <c r="R141">
        <v>86.2</v>
      </c>
      <c r="S141" t="b">
        <v>1</v>
      </c>
      <c r="T141">
        <v>0.5</v>
      </c>
      <c r="U141">
        <v>139</v>
      </c>
      <c r="V141">
        <f>Table1[[#This Row],[orig_m]]+Table1[[#This Row],[orig_n]]+Table1[[#This Row],[orig_k]]-2</f>
        <v>94</v>
      </c>
      <c r="W141">
        <f>Table1[[#This Row],[Dense Baseline]]-Table1[[#This Row],[cycles]]</f>
        <v>59</v>
      </c>
      <c r="X141">
        <f>(Table1[[#This Row],[eff_macs]]/Table1[[#This Row],[cycles]])*0.07</f>
        <v>5.0400000000000009</v>
      </c>
      <c r="Y141">
        <f>(Table1[[#This Row],[orig_macs]]/Table1[[#This Row],[cycles]])*0.07</f>
        <v>131.072</v>
      </c>
      <c r="Z141">
        <f>(Table1[[#This Row],[Dense-Equivalent Throughput (GOPS)]] / IF(Table1[[#This Row],[config]]=0,144781,7618)) * 1000</f>
        <v>0.90531216112611468</v>
      </c>
      <c r="AA141">
        <f>(Table1[[#This Row],[Dense-Equivalent Throughput (GOPS)]] / 654.74 )/ IF(Table1[[#This Row],[config]]=0, 42381, 7618) * 10^9</f>
        <v>4723.5645254731235</v>
      </c>
      <c r="AB141">
        <f>IF(Table1[[#This Row],[config]]=0, 2860, 2210) * (Table1[[#This Row],[cycles]] / 70) / 1000</f>
        <v>1.43</v>
      </c>
    </row>
    <row r="142" spans="1:28" x14ac:dyDescent="0.25">
      <c r="A142" t="s">
        <v>20</v>
      </c>
      <c r="B142" t="s">
        <v>23</v>
      </c>
      <c r="C142">
        <v>2</v>
      </c>
      <c r="D142">
        <v>45</v>
      </c>
      <c r="E142">
        <v>32</v>
      </c>
      <c r="F142">
        <v>32</v>
      </c>
      <c r="G142">
        <v>32</v>
      </c>
      <c r="H142">
        <v>10</v>
      </c>
      <c r="I142">
        <v>17</v>
      </c>
      <c r="J142">
        <v>6</v>
      </c>
      <c r="K142">
        <v>0</v>
      </c>
      <c r="L142">
        <v>32</v>
      </c>
      <c r="M142">
        <v>0.92090000000000005</v>
      </c>
      <c r="N142">
        <v>65536</v>
      </c>
      <c r="O142">
        <v>2040</v>
      </c>
      <c r="P142">
        <v>0.96889999999999998</v>
      </c>
      <c r="Q142">
        <v>31</v>
      </c>
      <c r="R142">
        <v>45.9</v>
      </c>
      <c r="S142" t="b">
        <v>1</v>
      </c>
      <c r="T142">
        <v>0.44285714300000001</v>
      </c>
      <c r="U142">
        <v>140</v>
      </c>
      <c r="V142">
        <f>Table1[[#This Row],[orig_m]]+Table1[[#This Row],[orig_n]]+Table1[[#This Row],[orig_k]]-2</f>
        <v>94</v>
      </c>
      <c r="W142">
        <f>Table1[[#This Row],[Dense Baseline]]-Table1[[#This Row],[cycles]]</f>
        <v>63</v>
      </c>
      <c r="X142">
        <f>(Table1[[#This Row],[eff_macs]]/Table1[[#This Row],[cycles]])*0.07</f>
        <v>4.6064516129032267</v>
      </c>
      <c r="Y142">
        <f>(Table1[[#This Row],[orig_macs]]/Table1[[#This Row],[cycles]])*0.07</f>
        <v>147.98451612903227</v>
      </c>
      <c r="Z142">
        <f>(Table1[[#This Row],[Dense-Equivalent Throughput (GOPS)]] / IF(Table1[[#This Row],[config]]=0,144781,7618)) * 1000</f>
        <v>1.0221266335294843</v>
      </c>
      <c r="AA142">
        <f>(Table1[[#This Row],[Dense-Equivalent Throughput (GOPS)]] / 654.74 )/ IF(Table1[[#This Row],[config]]=0, 42381, 7618) * 10^9</f>
        <v>5333.0567223083654</v>
      </c>
      <c r="AB142">
        <f>IF(Table1[[#This Row],[config]]=0, 2860, 2210) * (Table1[[#This Row],[cycles]] / 70) / 1000</f>
        <v>1.2665714285714285</v>
      </c>
    </row>
    <row r="143" spans="1:28" x14ac:dyDescent="0.25">
      <c r="A143" t="s">
        <v>20</v>
      </c>
      <c r="B143" t="s">
        <v>23</v>
      </c>
      <c r="C143">
        <v>2</v>
      </c>
      <c r="D143">
        <v>46</v>
      </c>
      <c r="E143">
        <v>32</v>
      </c>
      <c r="F143">
        <v>32</v>
      </c>
      <c r="G143">
        <v>32</v>
      </c>
      <c r="H143">
        <v>10</v>
      </c>
      <c r="I143">
        <v>19</v>
      </c>
      <c r="J143">
        <v>6</v>
      </c>
      <c r="K143">
        <v>0</v>
      </c>
      <c r="L143">
        <v>32</v>
      </c>
      <c r="M143">
        <v>0.91500000000000004</v>
      </c>
      <c r="N143">
        <v>65536</v>
      </c>
      <c r="O143">
        <v>2280</v>
      </c>
      <c r="P143">
        <v>0.96519999999999995</v>
      </c>
      <c r="Q143">
        <v>33</v>
      </c>
      <c r="R143">
        <v>40.1</v>
      </c>
      <c r="S143" t="b">
        <v>1</v>
      </c>
      <c r="T143">
        <v>0.47142857100000002</v>
      </c>
      <c r="U143">
        <v>141</v>
      </c>
      <c r="V143">
        <f>Table1[[#This Row],[orig_m]]+Table1[[#This Row],[orig_n]]+Table1[[#This Row],[orig_k]]-2</f>
        <v>94</v>
      </c>
      <c r="W143">
        <f>Table1[[#This Row],[Dense Baseline]]-Table1[[#This Row],[cycles]]</f>
        <v>61</v>
      </c>
      <c r="X143">
        <f>(Table1[[#This Row],[eff_macs]]/Table1[[#This Row],[cycles]])*0.07</f>
        <v>4.8363636363636369</v>
      </c>
      <c r="Y143">
        <f>(Table1[[#This Row],[orig_macs]]/Table1[[#This Row],[cycles]])*0.07</f>
        <v>139.01575757575759</v>
      </c>
      <c r="Z143">
        <f>(Table1[[#This Row],[Dense-Equivalent Throughput (GOPS)]] / IF(Table1[[#This Row],[config]]=0,144781,7618)) * 1000</f>
        <v>0.96017956483072764</v>
      </c>
      <c r="AA143">
        <f>(Table1[[#This Row],[Dense-Equivalent Throughput (GOPS)]] / 654.74 )/ IF(Table1[[#This Row],[config]]=0, 42381, 7618) * 10^9</f>
        <v>5009.8411633805854</v>
      </c>
      <c r="AB143">
        <f>IF(Table1[[#This Row],[config]]=0, 2860, 2210) * (Table1[[#This Row],[cycles]] / 70) / 1000</f>
        <v>1.3482857142857143</v>
      </c>
    </row>
    <row r="144" spans="1:28" x14ac:dyDescent="0.25">
      <c r="A144" t="s">
        <v>20</v>
      </c>
      <c r="B144" t="s">
        <v>23</v>
      </c>
      <c r="C144">
        <v>2</v>
      </c>
      <c r="D144">
        <v>47</v>
      </c>
      <c r="E144">
        <v>32</v>
      </c>
      <c r="F144">
        <v>32</v>
      </c>
      <c r="G144">
        <v>32</v>
      </c>
      <c r="H144">
        <v>10</v>
      </c>
      <c r="I144">
        <v>20</v>
      </c>
      <c r="J144">
        <v>6</v>
      </c>
      <c r="K144">
        <v>0</v>
      </c>
      <c r="L144">
        <v>32</v>
      </c>
      <c r="M144">
        <v>0.91210000000000002</v>
      </c>
      <c r="N144">
        <v>65536</v>
      </c>
      <c r="O144">
        <v>2400</v>
      </c>
      <c r="P144">
        <v>0.96340000000000003</v>
      </c>
      <c r="Q144">
        <v>34</v>
      </c>
      <c r="R144">
        <v>124.9</v>
      </c>
      <c r="S144" t="b">
        <v>1</v>
      </c>
      <c r="T144">
        <v>0.485714286</v>
      </c>
      <c r="U144">
        <v>142</v>
      </c>
      <c r="V144">
        <f>Table1[[#This Row],[orig_m]]+Table1[[#This Row],[orig_n]]+Table1[[#This Row],[orig_k]]-2</f>
        <v>94</v>
      </c>
      <c r="W144">
        <f>Table1[[#This Row],[Dense Baseline]]-Table1[[#This Row],[cycles]]</f>
        <v>60</v>
      </c>
      <c r="X144">
        <f>(Table1[[#This Row],[eff_macs]]/Table1[[#This Row],[cycles]])*0.07</f>
        <v>4.9411764705882364</v>
      </c>
      <c r="Y144">
        <f>(Table1[[#This Row],[orig_macs]]/Table1[[#This Row],[cycles]])*0.07</f>
        <v>134.92705882352942</v>
      </c>
      <c r="Z144">
        <f>(Table1[[#This Row],[Dense-Equivalent Throughput (GOPS)]] / IF(Table1[[#This Row],[config]]=0,144781,7618)) * 1000</f>
        <v>0.93193898939452979</v>
      </c>
      <c r="AA144">
        <f>(Table1[[#This Row],[Dense-Equivalent Throughput (GOPS)]] / 654.74 )/ IF(Table1[[#This Row],[config]]=0, 42381, 7618) * 10^9</f>
        <v>4862.492893869392</v>
      </c>
      <c r="AB144">
        <f>IF(Table1[[#This Row],[config]]=0, 2860, 2210) * (Table1[[#This Row],[cycles]] / 70) / 1000</f>
        <v>1.389142857142857</v>
      </c>
    </row>
    <row r="145" spans="1:28" x14ac:dyDescent="0.25">
      <c r="A145" t="s">
        <v>20</v>
      </c>
      <c r="B145" t="s">
        <v>23</v>
      </c>
      <c r="C145">
        <v>2</v>
      </c>
      <c r="D145">
        <v>48</v>
      </c>
      <c r="E145">
        <v>32</v>
      </c>
      <c r="F145">
        <v>32</v>
      </c>
      <c r="G145">
        <v>32</v>
      </c>
      <c r="H145">
        <v>10</v>
      </c>
      <c r="I145">
        <v>13</v>
      </c>
      <c r="J145">
        <v>6</v>
      </c>
      <c r="K145">
        <v>1</v>
      </c>
      <c r="L145">
        <v>16</v>
      </c>
      <c r="M145">
        <v>0.93259999999999998</v>
      </c>
      <c r="N145">
        <v>65536</v>
      </c>
      <c r="O145">
        <v>1560</v>
      </c>
      <c r="P145">
        <v>0.97619999999999996</v>
      </c>
      <c r="Q145">
        <v>27</v>
      </c>
      <c r="R145">
        <v>82.7</v>
      </c>
      <c r="S145" t="b">
        <v>1</v>
      </c>
      <c r="T145">
        <v>0.38571428600000002</v>
      </c>
      <c r="U145">
        <v>143</v>
      </c>
      <c r="V145">
        <f>Table1[[#This Row],[orig_m]]+Table1[[#This Row],[orig_n]]+Table1[[#This Row],[orig_k]]-2</f>
        <v>94</v>
      </c>
      <c r="W145">
        <f>Table1[[#This Row],[Dense Baseline]]-Table1[[#This Row],[cycles]]</f>
        <v>67</v>
      </c>
      <c r="X145">
        <f>(Table1[[#This Row],[eff_macs]]/Table1[[#This Row],[cycles]])*0.07</f>
        <v>4.0444444444444452</v>
      </c>
      <c r="Y145">
        <f>(Table1[[#This Row],[orig_macs]]/Table1[[#This Row],[cycles]])*0.07</f>
        <v>169.90814814814814</v>
      </c>
      <c r="Z145">
        <f>(Table1[[#This Row],[Dense-Equivalent Throughput (GOPS)]] / IF(Table1[[#This Row],[config]]=0,144781,7618)) * 1000</f>
        <v>22.303511177231314</v>
      </c>
      <c r="AA145">
        <f>(Table1[[#This Row],[Dense-Equivalent Throughput (GOPS)]] / 654.74 )/ IF(Table1[[#This Row],[config]]=0, 42381, 7618) * 10^9</f>
        <v>34064.683961925824</v>
      </c>
      <c r="AB145">
        <f>IF(Table1[[#This Row],[config]]=0, 2860, 2210) * (Table1[[#This Row],[cycles]] / 70) / 1000</f>
        <v>0.85242857142857142</v>
      </c>
    </row>
    <row r="146" spans="1:28" x14ac:dyDescent="0.25">
      <c r="A146" t="s">
        <v>20</v>
      </c>
      <c r="B146" t="s">
        <v>23</v>
      </c>
      <c r="C146">
        <v>2</v>
      </c>
      <c r="D146">
        <v>49</v>
      </c>
      <c r="E146">
        <v>32</v>
      </c>
      <c r="F146">
        <v>32</v>
      </c>
      <c r="G146">
        <v>32</v>
      </c>
      <c r="H146">
        <v>22</v>
      </c>
      <c r="I146">
        <v>16</v>
      </c>
      <c r="J146">
        <v>9</v>
      </c>
      <c r="K146">
        <v>0</v>
      </c>
      <c r="L146">
        <v>32</v>
      </c>
      <c r="M146">
        <v>0.83299999999999996</v>
      </c>
      <c r="N146">
        <v>65536</v>
      </c>
      <c r="O146">
        <v>6336</v>
      </c>
      <c r="P146">
        <v>0.90329999999999999</v>
      </c>
      <c r="Q146">
        <v>45</v>
      </c>
      <c r="R146">
        <v>76.099999999999994</v>
      </c>
      <c r="S146" t="b">
        <v>1</v>
      </c>
      <c r="T146">
        <v>0.64285714299999996</v>
      </c>
      <c r="U146">
        <v>144</v>
      </c>
      <c r="V146">
        <f>Table1[[#This Row],[orig_m]]+Table1[[#This Row],[orig_n]]+Table1[[#This Row],[orig_k]]-2</f>
        <v>94</v>
      </c>
      <c r="W146">
        <f>Table1[[#This Row],[Dense Baseline]]-Table1[[#This Row],[cycles]]</f>
        <v>49</v>
      </c>
      <c r="X146">
        <f>(Table1[[#This Row],[eff_macs]]/Table1[[#This Row],[cycles]])*0.07</f>
        <v>9.8560000000000016</v>
      </c>
      <c r="Y146">
        <f>(Table1[[#This Row],[orig_macs]]/Table1[[#This Row],[cycles]])*0.07</f>
        <v>101.9448888888889</v>
      </c>
      <c r="Z146">
        <f>(Table1[[#This Row],[Dense-Equivalent Throughput (GOPS)]] / IF(Table1[[#This Row],[config]]=0,144781,7618)) * 1000</f>
        <v>0.70413168087586697</v>
      </c>
      <c r="AA146">
        <f>(Table1[[#This Row],[Dense-Equivalent Throughput (GOPS)]] / 654.74 )/ IF(Table1[[#This Row],[config]]=0, 42381, 7618) * 10^9</f>
        <v>3673.8835198124293</v>
      </c>
      <c r="AB146">
        <f>IF(Table1[[#This Row],[config]]=0, 2860, 2210) * (Table1[[#This Row],[cycles]] / 70) / 1000</f>
        <v>1.8385714285714287</v>
      </c>
    </row>
    <row r="147" spans="1:28" x14ac:dyDescent="0.25">
      <c r="A147" t="s">
        <v>20</v>
      </c>
      <c r="B147" t="s">
        <v>23</v>
      </c>
      <c r="C147">
        <v>2</v>
      </c>
      <c r="D147">
        <v>50</v>
      </c>
      <c r="E147">
        <v>32</v>
      </c>
      <c r="F147">
        <v>32</v>
      </c>
      <c r="G147">
        <v>32</v>
      </c>
      <c r="H147">
        <v>22</v>
      </c>
      <c r="I147">
        <v>17</v>
      </c>
      <c r="J147">
        <v>9</v>
      </c>
      <c r="K147">
        <v>0</v>
      </c>
      <c r="L147">
        <v>32</v>
      </c>
      <c r="M147">
        <v>0.8286</v>
      </c>
      <c r="N147">
        <v>65536</v>
      </c>
      <c r="O147">
        <v>6732</v>
      </c>
      <c r="P147">
        <v>0.89729999999999999</v>
      </c>
      <c r="Q147">
        <v>46</v>
      </c>
      <c r="R147">
        <v>84.2</v>
      </c>
      <c r="S147" t="b">
        <v>1</v>
      </c>
      <c r="T147">
        <v>0.65714285699999997</v>
      </c>
      <c r="U147">
        <v>145</v>
      </c>
      <c r="V147">
        <f>Table1[[#This Row],[orig_m]]+Table1[[#This Row],[orig_n]]+Table1[[#This Row],[orig_k]]-2</f>
        <v>94</v>
      </c>
      <c r="W147">
        <f>Table1[[#This Row],[Dense Baseline]]-Table1[[#This Row],[cycles]]</f>
        <v>48</v>
      </c>
      <c r="X147">
        <f>(Table1[[#This Row],[eff_macs]]/Table1[[#This Row],[cycles]])*0.07</f>
        <v>10.244347826086958</v>
      </c>
      <c r="Y147">
        <f>(Table1[[#This Row],[orig_macs]]/Table1[[#This Row],[cycles]])*0.07</f>
        <v>99.728695652173926</v>
      </c>
      <c r="Z147">
        <f>(Table1[[#This Row],[Dense-Equivalent Throughput (GOPS)]] / IF(Table1[[#This Row],[config]]=0,144781,7618)) * 1000</f>
        <v>0.68882447042204387</v>
      </c>
      <c r="AA147">
        <f>(Table1[[#This Row],[Dense-Equivalent Throughput (GOPS)]] / 654.74 )/ IF(Table1[[#This Row],[config]]=0, 42381, 7618) * 10^9</f>
        <v>3594.0164867730291</v>
      </c>
      <c r="AB147">
        <f>IF(Table1[[#This Row],[config]]=0, 2860, 2210) * (Table1[[#This Row],[cycles]] / 70) / 1000</f>
        <v>1.8794285714285712</v>
      </c>
    </row>
    <row r="148" spans="1:28" x14ac:dyDescent="0.25">
      <c r="A148" t="s">
        <v>20</v>
      </c>
      <c r="B148" t="s">
        <v>23</v>
      </c>
      <c r="C148">
        <v>2</v>
      </c>
      <c r="D148">
        <v>51</v>
      </c>
      <c r="E148">
        <v>32</v>
      </c>
      <c r="F148">
        <v>32</v>
      </c>
      <c r="G148">
        <v>32</v>
      </c>
      <c r="H148">
        <v>22</v>
      </c>
      <c r="I148">
        <v>17</v>
      </c>
      <c r="J148">
        <v>9</v>
      </c>
      <c r="K148">
        <v>0</v>
      </c>
      <c r="L148">
        <v>32</v>
      </c>
      <c r="M148">
        <v>0.8286</v>
      </c>
      <c r="N148">
        <v>65536</v>
      </c>
      <c r="O148">
        <v>6732</v>
      </c>
      <c r="P148">
        <v>0.89729999999999999</v>
      </c>
      <c r="Q148">
        <v>46</v>
      </c>
      <c r="R148">
        <v>49.8</v>
      </c>
      <c r="S148" t="b">
        <v>1</v>
      </c>
      <c r="T148">
        <v>0.65714285699999997</v>
      </c>
      <c r="U148">
        <v>146</v>
      </c>
      <c r="V148">
        <f>Table1[[#This Row],[orig_m]]+Table1[[#This Row],[orig_n]]+Table1[[#This Row],[orig_k]]-2</f>
        <v>94</v>
      </c>
      <c r="W148">
        <f>Table1[[#This Row],[Dense Baseline]]-Table1[[#This Row],[cycles]]</f>
        <v>48</v>
      </c>
      <c r="X148">
        <f>(Table1[[#This Row],[eff_macs]]/Table1[[#This Row],[cycles]])*0.07</f>
        <v>10.244347826086958</v>
      </c>
      <c r="Y148">
        <f>(Table1[[#This Row],[orig_macs]]/Table1[[#This Row],[cycles]])*0.07</f>
        <v>99.728695652173926</v>
      </c>
      <c r="Z148">
        <f>(Table1[[#This Row],[Dense-Equivalent Throughput (GOPS)]] / IF(Table1[[#This Row],[config]]=0,144781,7618)) * 1000</f>
        <v>0.68882447042204387</v>
      </c>
      <c r="AA148">
        <f>(Table1[[#This Row],[Dense-Equivalent Throughput (GOPS)]] / 654.74 )/ IF(Table1[[#This Row],[config]]=0, 42381, 7618) * 10^9</f>
        <v>3594.0164867730291</v>
      </c>
      <c r="AB148">
        <f>IF(Table1[[#This Row],[config]]=0, 2860, 2210) * (Table1[[#This Row],[cycles]] / 70) / 1000</f>
        <v>1.8794285714285712</v>
      </c>
    </row>
    <row r="149" spans="1:28" x14ac:dyDescent="0.25">
      <c r="A149" t="s">
        <v>20</v>
      </c>
      <c r="B149" t="s">
        <v>23</v>
      </c>
      <c r="C149">
        <v>2</v>
      </c>
      <c r="D149">
        <v>52</v>
      </c>
      <c r="E149">
        <v>32</v>
      </c>
      <c r="F149">
        <v>32</v>
      </c>
      <c r="G149">
        <v>32</v>
      </c>
      <c r="H149">
        <v>22</v>
      </c>
      <c r="I149">
        <v>15</v>
      </c>
      <c r="J149">
        <v>9</v>
      </c>
      <c r="K149">
        <v>0</v>
      </c>
      <c r="L149">
        <v>32</v>
      </c>
      <c r="M149">
        <v>0.83740000000000003</v>
      </c>
      <c r="N149">
        <v>65536</v>
      </c>
      <c r="O149">
        <v>5940</v>
      </c>
      <c r="P149">
        <v>0.90939999999999999</v>
      </c>
      <c r="Q149">
        <v>44</v>
      </c>
      <c r="R149">
        <v>48.9</v>
      </c>
      <c r="S149" t="b">
        <v>1</v>
      </c>
      <c r="T149">
        <v>0.62857142899999996</v>
      </c>
      <c r="U149">
        <v>147</v>
      </c>
      <c r="V149">
        <f>Table1[[#This Row],[orig_m]]+Table1[[#This Row],[orig_n]]+Table1[[#This Row],[orig_k]]-2</f>
        <v>94</v>
      </c>
      <c r="W149">
        <f>Table1[[#This Row],[Dense Baseline]]-Table1[[#This Row],[cycles]]</f>
        <v>50</v>
      </c>
      <c r="X149">
        <f>(Table1[[#This Row],[eff_macs]]/Table1[[#This Row],[cycles]])*0.07</f>
        <v>9.4500000000000011</v>
      </c>
      <c r="Y149">
        <f>(Table1[[#This Row],[orig_macs]]/Table1[[#This Row],[cycles]])*0.07</f>
        <v>104.2618181818182</v>
      </c>
      <c r="Z149">
        <f>(Table1[[#This Row],[Dense-Equivalent Throughput (GOPS)]] / IF(Table1[[#This Row],[config]]=0,144781,7618)) * 1000</f>
        <v>0.72013467362304584</v>
      </c>
      <c r="AA149">
        <f>(Table1[[#This Row],[Dense-Equivalent Throughput (GOPS)]] / 654.74 )/ IF(Table1[[#This Row],[config]]=0, 42381, 7618) * 10^9</f>
        <v>3757.3808725354393</v>
      </c>
      <c r="AB149">
        <f>IF(Table1[[#This Row],[config]]=0, 2860, 2210) * (Table1[[#This Row],[cycles]] / 70) / 1000</f>
        <v>1.7977142857142858</v>
      </c>
    </row>
    <row r="150" spans="1:28" x14ac:dyDescent="0.25">
      <c r="A150" t="s">
        <v>20</v>
      </c>
      <c r="B150" t="s">
        <v>23</v>
      </c>
      <c r="C150">
        <v>2</v>
      </c>
      <c r="D150">
        <v>53</v>
      </c>
      <c r="E150">
        <v>32</v>
      </c>
      <c r="F150">
        <v>32</v>
      </c>
      <c r="G150">
        <v>32</v>
      </c>
      <c r="H150">
        <v>22</v>
      </c>
      <c r="I150">
        <v>18</v>
      </c>
      <c r="J150">
        <v>9</v>
      </c>
      <c r="K150">
        <v>0</v>
      </c>
      <c r="L150">
        <v>32</v>
      </c>
      <c r="M150">
        <v>0.82420000000000004</v>
      </c>
      <c r="N150">
        <v>65536</v>
      </c>
      <c r="O150">
        <v>7128</v>
      </c>
      <c r="P150">
        <v>0.89119999999999999</v>
      </c>
      <c r="Q150">
        <v>47</v>
      </c>
      <c r="R150">
        <v>63.7</v>
      </c>
      <c r="S150" t="b">
        <v>1</v>
      </c>
      <c r="T150">
        <v>0.67142857099999997</v>
      </c>
      <c r="U150">
        <v>148</v>
      </c>
      <c r="V150">
        <f>Table1[[#This Row],[orig_m]]+Table1[[#This Row],[orig_n]]+Table1[[#This Row],[orig_k]]-2</f>
        <v>94</v>
      </c>
      <c r="W150">
        <f>Table1[[#This Row],[Dense Baseline]]-Table1[[#This Row],[cycles]]</f>
        <v>47</v>
      </c>
      <c r="X150">
        <f>(Table1[[#This Row],[eff_macs]]/Table1[[#This Row],[cycles]])*0.07</f>
        <v>10.616170212765958</v>
      </c>
      <c r="Y150">
        <f>(Table1[[#This Row],[orig_macs]]/Table1[[#This Row],[cycles]])*0.07</f>
        <v>97.606808510638302</v>
      </c>
      <c r="Z150">
        <f>(Table1[[#This Row],[Dense-Equivalent Throughput (GOPS)]] / IF(Table1[[#This Row],[config]]=0,144781,7618)) * 1000</f>
        <v>0.67416863062582999</v>
      </c>
      <c r="AA150">
        <f>(Table1[[#This Row],[Dense-Equivalent Throughput (GOPS)]] / 654.74 )/ IF(Table1[[#This Row],[config]]=0, 42381, 7618) * 10^9</f>
        <v>3517.5480508842406</v>
      </c>
      <c r="AB150">
        <f>IF(Table1[[#This Row],[config]]=0, 2860, 2210) * (Table1[[#This Row],[cycles]] / 70) / 1000</f>
        <v>1.9202857142857142</v>
      </c>
    </row>
    <row r="151" spans="1:28" x14ac:dyDescent="0.25">
      <c r="A151" t="s">
        <v>20</v>
      </c>
      <c r="B151" t="s">
        <v>23</v>
      </c>
      <c r="C151">
        <v>2</v>
      </c>
      <c r="D151">
        <v>54</v>
      </c>
      <c r="E151">
        <v>32</v>
      </c>
      <c r="F151">
        <v>32</v>
      </c>
      <c r="G151">
        <v>32</v>
      </c>
      <c r="H151">
        <v>22</v>
      </c>
      <c r="I151">
        <v>18</v>
      </c>
      <c r="J151">
        <v>9</v>
      </c>
      <c r="K151">
        <v>0</v>
      </c>
      <c r="L151">
        <v>32</v>
      </c>
      <c r="M151">
        <v>0.82420000000000004</v>
      </c>
      <c r="N151">
        <v>65536</v>
      </c>
      <c r="O151">
        <v>7128</v>
      </c>
      <c r="P151">
        <v>0.89119999999999999</v>
      </c>
      <c r="Q151">
        <v>47</v>
      </c>
      <c r="R151">
        <v>38.799999999999997</v>
      </c>
      <c r="S151" t="b">
        <v>1</v>
      </c>
      <c r="T151">
        <v>0.67142857099999997</v>
      </c>
      <c r="U151">
        <v>149</v>
      </c>
      <c r="V151">
        <f>Table1[[#This Row],[orig_m]]+Table1[[#This Row],[orig_n]]+Table1[[#This Row],[orig_k]]-2</f>
        <v>94</v>
      </c>
      <c r="W151">
        <f>Table1[[#This Row],[Dense Baseline]]-Table1[[#This Row],[cycles]]</f>
        <v>47</v>
      </c>
      <c r="X151">
        <f>(Table1[[#This Row],[eff_macs]]/Table1[[#This Row],[cycles]])*0.07</f>
        <v>10.616170212765958</v>
      </c>
      <c r="Y151">
        <f>(Table1[[#This Row],[orig_macs]]/Table1[[#This Row],[cycles]])*0.07</f>
        <v>97.606808510638302</v>
      </c>
      <c r="Z151">
        <f>(Table1[[#This Row],[Dense-Equivalent Throughput (GOPS)]] / IF(Table1[[#This Row],[config]]=0,144781,7618)) * 1000</f>
        <v>0.67416863062582999</v>
      </c>
      <c r="AA151">
        <f>(Table1[[#This Row],[Dense-Equivalent Throughput (GOPS)]] / 654.74 )/ IF(Table1[[#This Row],[config]]=0, 42381, 7618) * 10^9</f>
        <v>3517.5480508842406</v>
      </c>
      <c r="AB151">
        <f>IF(Table1[[#This Row],[config]]=0, 2860, 2210) * (Table1[[#This Row],[cycles]] / 70) / 1000</f>
        <v>1.9202857142857142</v>
      </c>
    </row>
    <row r="152" spans="1:28" x14ac:dyDescent="0.25">
      <c r="A152" t="s">
        <v>20</v>
      </c>
      <c r="B152" t="s">
        <v>23</v>
      </c>
      <c r="C152">
        <v>2</v>
      </c>
      <c r="D152">
        <v>55</v>
      </c>
      <c r="E152">
        <v>32</v>
      </c>
      <c r="F152">
        <v>32</v>
      </c>
      <c r="G152">
        <v>32</v>
      </c>
      <c r="H152">
        <v>22</v>
      </c>
      <c r="I152">
        <v>20</v>
      </c>
      <c r="J152">
        <v>9</v>
      </c>
      <c r="K152">
        <v>0</v>
      </c>
      <c r="L152">
        <v>32</v>
      </c>
      <c r="M152">
        <v>0.81540000000000001</v>
      </c>
      <c r="N152">
        <v>65536</v>
      </c>
      <c r="O152">
        <v>7920</v>
      </c>
      <c r="P152">
        <v>0.87919999999999998</v>
      </c>
      <c r="Q152">
        <v>49</v>
      </c>
      <c r="R152">
        <v>198.7</v>
      </c>
      <c r="S152" t="b">
        <v>1</v>
      </c>
      <c r="T152">
        <v>0.7</v>
      </c>
      <c r="U152">
        <v>150</v>
      </c>
      <c r="V152">
        <f>Table1[[#This Row],[orig_m]]+Table1[[#This Row],[orig_n]]+Table1[[#This Row],[orig_k]]-2</f>
        <v>94</v>
      </c>
      <c r="W152">
        <f>Table1[[#This Row],[Dense Baseline]]-Table1[[#This Row],[cycles]]</f>
        <v>45</v>
      </c>
      <c r="X152">
        <f>(Table1[[#This Row],[eff_macs]]/Table1[[#This Row],[cycles]])*0.07</f>
        <v>11.314285714285715</v>
      </c>
      <c r="Y152">
        <f>(Table1[[#This Row],[orig_macs]]/Table1[[#This Row],[cycles]])*0.07</f>
        <v>93.622857142857143</v>
      </c>
      <c r="Z152">
        <f>(Table1[[#This Row],[Dense-Equivalent Throughput (GOPS)]] / IF(Table1[[#This Row],[config]]=0,144781,7618)) * 1000</f>
        <v>0.64665154366151045</v>
      </c>
      <c r="AA152">
        <f>(Table1[[#This Row],[Dense-Equivalent Throughput (GOPS)]] / 654.74 )/ IF(Table1[[#This Row],[config]]=0, 42381, 7618) * 10^9</f>
        <v>3373.9746610522307</v>
      </c>
      <c r="AB152">
        <f>IF(Table1[[#This Row],[config]]=0, 2860, 2210) * (Table1[[#This Row],[cycles]] / 70) / 1000</f>
        <v>2.0019999999999998</v>
      </c>
    </row>
    <row r="153" spans="1:28" x14ac:dyDescent="0.25">
      <c r="A153" t="s">
        <v>20</v>
      </c>
      <c r="B153" t="s">
        <v>23</v>
      </c>
      <c r="C153">
        <v>2</v>
      </c>
      <c r="D153">
        <v>56</v>
      </c>
      <c r="E153">
        <v>32</v>
      </c>
      <c r="F153">
        <v>32</v>
      </c>
      <c r="G153">
        <v>32</v>
      </c>
      <c r="H153">
        <v>22</v>
      </c>
      <c r="I153">
        <v>21</v>
      </c>
      <c r="J153">
        <v>9</v>
      </c>
      <c r="K153">
        <v>0</v>
      </c>
      <c r="L153">
        <v>32</v>
      </c>
      <c r="M153">
        <v>0.81100000000000005</v>
      </c>
      <c r="N153">
        <v>65536</v>
      </c>
      <c r="O153">
        <v>8316</v>
      </c>
      <c r="P153">
        <v>0.87309999999999999</v>
      </c>
      <c r="Q153">
        <v>50</v>
      </c>
      <c r="R153">
        <v>39.6</v>
      </c>
      <c r="S153" t="b">
        <v>1</v>
      </c>
      <c r="T153">
        <v>0.71428571399999996</v>
      </c>
      <c r="U153">
        <v>151</v>
      </c>
      <c r="V153">
        <f>Table1[[#This Row],[orig_m]]+Table1[[#This Row],[orig_n]]+Table1[[#This Row],[orig_k]]-2</f>
        <v>94</v>
      </c>
      <c r="W153">
        <f>Table1[[#This Row],[Dense Baseline]]-Table1[[#This Row],[cycles]]</f>
        <v>44</v>
      </c>
      <c r="X153">
        <f>(Table1[[#This Row],[eff_macs]]/Table1[[#This Row],[cycles]])*0.07</f>
        <v>11.6424</v>
      </c>
      <c r="Y153">
        <f>(Table1[[#This Row],[orig_macs]]/Table1[[#This Row],[cycles]])*0.07</f>
        <v>91.750400000000013</v>
      </c>
      <c r="Z153">
        <f>(Table1[[#This Row],[Dense-Equivalent Throughput (GOPS)]] / IF(Table1[[#This Row],[config]]=0,144781,7618)) * 1000</f>
        <v>0.63371851278828029</v>
      </c>
      <c r="AA153">
        <f>(Table1[[#This Row],[Dense-Equivalent Throughput (GOPS)]] / 654.74 )/ IF(Table1[[#This Row],[config]]=0, 42381, 7618) * 10^9</f>
        <v>3306.4951678311863</v>
      </c>
      <c r="AB153">
        <f>IF(Table1[[#This Row],[config]]=0, 2860, 2210) * (Table1[[#This Row],[cycles]] / 70) / 1000</f>
        <v>2.0428571428571427</v>
      </c>
    </row>
    <row r="154" spans="1:28" x14ac:dyDescent="0.25">
      <c r="A154" t="s">
        <v>20</v>
      </c>
      <c r="B154" t="s">
        <v>23</v>
      </c>
      <c r="C154">
        <v>2</v>
      </c>
      <c r="D154">
        <v>57</v>
      </c>
      <c r="E154">
        <v>32</v>
      </c>
      <c r="F154">
        <v>32</v>
      </c>
      <c r="G154">
        <v>32</v>
      </c>
      <c r="H154">
        <v>22</v>
      </c>
      <c r="I154">
        <v>17</v>
      </c>
      <c r="J154">
        <v>9</v>
      </c>
      <c r="K154">
        <v>0</v>
      </c>
      <c r="L154">
        <v>32</v>
      </c>
      <c r="M154">
        <v>0.8286</v>
      </c>
      <c r="N154">
        <v>65536</v>
      </c>
      <c r="O154">
        <v>6732</v>
      </c>
      <c r="P154">
        <v>0.89729999999999999</v>
      </c>
      <c r="Q154">
        <v>46</v>
      </c>
      <c r="R154">
        <v>49.6</v>
      </c>
      <c r="S154" t="b">
        <v>1</v>
      </c>
      <c r="T154">
        <v>0.65714285699999997</v>
      </c>
      <c r="U154">
        <v>152</v>
      </c>
      <c r="V154">
        <f>Table1[[#This Row],[orig_m]]+Table1[[#This Row],[orig_n]]+Table1[[#This Row],[orig_k]]-2</f>
        <v>94</v>
      </c>
      <c r="W154">
        <f>Table1[[#This Row],[Dense Baseline]]-Table1[[#This Row],[cycles]]</f>
        <v>48</v>
      </c>
      <c r="X154">
        <f>(Table1[[#This Row],[eff_macs]]/Table1[[#This Row],[cycles]])*0.07</f>
        <v>10.244347826086958</v>
      </c>
      <c r="Y154">
        <f>(Table1[[#This Row],[orig_macs]]/Table1[[#This Row],[cycles]])*0.07</f>
        <v>99.728695652173926</v>
      </c>
      <c r="Z154">
        <f>(Table1[[#This Row],[Dense-Equivalent Throughput (GOPS)]] / IF(Table1[[#This Row],[config]]=0,144781,7618)) * 1000</f>
        <v>0.68882447042204387</v>
      </c>
      <c r="AA154">
        <f>(Table1[[#This Row],[Dense-Equivalent Throughput (GOPS)]] / 654.74 )/ IF(Table1[[#This Row],[config]]=0, 42381, 7618) * 10^9</f>
        <v>3594.0164867730291</v>
      </c>
      <c r="AB154">
        <f>IF(Table1[[#This Row],[config]]=0, 2860, 2210) * (Table1[[#This Row],[cycles]] / 70) / 1000</f>
        <v>1.8794285714285712</v>
      </c>
    </row>
    <row r="155" spans="1:28" x14ac:dyDescent="0.25">
      <c r="A155" t="s">
        <v>20</v>
      </c>
      <c r="B155" t="s">
        <v>23</v>
      </c>
      <c r="C155">
        <v>2</v>
      </c>
      <c r="D155">
        <v>58</v>
      </c>
      <c r="E155">
        <v>32</v>
      </c>
      <c r="F155">
        <v>32</v>
      </c>
      <c r="G155">
        <v>32</v>
      </c>
      <c r="H155">
        <v>22</v>
      </c>
      <c r="I155">
        <v>19</v>
      </c>
      <c r="J155">
        <v>9</v>
      </c>
      <c r="K155">
        <v>0</v>
      </c>
      <c r="L155">
        <v>32</v>
      </c>
      <c r="M155">
        <v>0.81979999999999997</v>
      </c>
      <c r="N155">
        <v>65536</v>
      </c>
      <c r="O155">
        <v>7524</v>
      </c>
      <c r="P155">
        <v>0.88519999999999999</v>
      </c>
      <c r="Q155">
        <v>48</v>
      </c>
      <c r="R155">
        <v>45.3</v>
      </c>
      <c r="S155" t="b">
        <v>1</v>
      </c>
      <c r="T155">
        <v>0.68571428599999995</v>
      </c>
      <c r="U155">
        <v>153</v>
      </c>
      <c r="V155">
        <f>Table1[[#This Row],[orig_m]]+Table1[[#This Row],[orig_n]]+Table1[[#This Row],[orig_k]]-2</f>
        <v>94</v>
      </c>
      <c r="W155">
        <f>Table1[[#This Row],[Dense Baseline]]-Table1[[#This Row],[cycles]]</f>
        <v>46</v>
      </c>
      <c r="X155">
        <f>(Table1[[#This Row],[eff_macs]]/Table1[[#This Row],[cycles]])*0.07</f>
        <v>10.972500000000002</v>
      </c>
      <c r="Y155">
        <f>(Table1[[#This Row],[orig_macs]]/Table1[[#This Row],[cycles]])*0.07</f>
        <v>95.573333333333338</v>
      </c>
      <c r="Z155">
        <f>(Table1[[#This Row],[Dense-Equivalent Throughput (GOPS)]] / IF(Table1[[#This Row],[config]]=0,144781,7618)) * 1000</f>
        <v>0.66012345082112533</v>
      </c>
      <c r="AA155">
        <f>(Table1[[#This Row],[Dense-Equivalent Throughput (GOPS)]] / 654.74 )/ IF(Table1[[#This Row],[config]]=0, 42381, 7618) * 10^9</f>
        <v>3444.2657998241525</v>
      </c>
      <c r="AB155">
        <f>IF(Table1[[#This Row],[config]]=0, 2860, 2210) * (Table1[[#This Row],[cycles]] / 70) / 1000</f>
        <v>1.9611428571428571</v>
      </c>
    </row>
    <row r="156" spans="1:28" x14ac:dyDescent="0.25">
      <c r="A156" t="s">
        <v>20</v>
      </c>
      <c r="B156" t="s">
        <v>23</v>
      </c>
      <c r="C156">
        <v>2</v>
      </c>
      <c r="D156">
        <v>59</v>
      </c>
      <c r="E156">
        <v>32</v>
      </c>
      <c r="F156">
        <v>32</v>
      </c>
      <c r="G156">
        <v>32</v>
      </c>
      <c r="H156">
        <v>22</v>
      </c>
      <c r="I156">
        <v>20</v>
      </c>
      <c r="J156">
        <v>9</v>
      </c>
      <c r="K156">
        <v>0</v>
      </c>
      <c r="L156">
        <v>32</v>
      </c>
      <c r="M156">
        <v>0.81540000000000001</v>
      </c>
      <c r="N156">
        <v>65536</v>
      </c>
      <c r="O156">
        <v>7920</v>
      </c>
      <c r="P156">
        <v>0.87919999999999998</v>
      </c>
      <c r="Q156">
        <v>49</v>
      </c>
      <c r="R156">
        <v>38.4</v>
      </c>
      <c r="S156" t="b">
        <v>1</v>
      </c>
      <c r="T156">
        <v>0.7</v>
      </c>
      <c r="U156">
        <v>154</v>
      </c>
      <c r="V156">
        <f>Table1[[#This Row],[orig_m]]+Table1[[#This Row],[orig_n]]+Table1[[#This Row],[orig_k]]-2</f>
        <v>94</v>
      </c>
      <c r="W156">
        <f>Table1[[#This Row],[Dense Baseline]]-Table1[[#This Row],[cycles]]</f>
        <v>45</v>
      </c>
      <c r="X156">
        <f>(Table1[[#This Row],[eff_macs]]/Table1[[#This Row],[cycles]])*0.07</f>
        <v>11.314285714285715</v>
      </c>
      <c r="Y156">
        <f>(Table1[[#This Row],[orig_macs]]/Table1[[#This Row],[cycles]])*0.07</f>
        <v>93.622857142857143</v>
      </c>
      <c r="Z156">
        <f>(Table1[[#This Row],[Dense-Equivalent Throughput (GOPS)]] / IF(Table1[[#This Row],[config]]=0,144781,7618)) * 1000</f>
        <v>0.64665154366151045</v>
      </c>
      <c r="AA156">
        <f>(Table1[[#This Row],[Dense-Equivalent Throughput (GOPS)]] / 654.74 )/ IF(Table1[[#This Row],[config]]=0, 42381, 7618) * 10^9</f>
        <v>3373.9746610522307</v>
      </c>
      <c r="AB156">
        <f>IF(Table1[[#This Row],[config]]=0, 2860, 2210) * (Table1[[#This Row],[cycles]] / 70) / 1000</f>
        <v>2.0019999999999998</v>
      </c>
    </row>
    <row r="157" spans="1:28" x14ac:dyDescent="0.25">
      <c r="A157" t="s">
        <v>20</v>
      </c>
      <c r="B157" t="s">
        <v>23</v>
      </c>
      <c r="C157">
        <v>2</v>
      </c>
      <c r="D157">
        <v>60</v>
      </c>
      <c r="E157">
        <v>32</v>
      </c>
      <c r="F157">
        <v>32</v>
      </c>
      <c r="G157">
        <v>32</v>
      </c>
      <c r="H157">
        <v>22</v>
      </c>
      <c r="I157">
        <v>13</v>
      </c>
      <c r="J157">
        <v>9</v>
      </c>
      <c r="K157">
        <v>0</v>
      </c>
      <c r="L157">
        <v>32</v>
      </c>
      <c r="M157">
        <v>0.84619999999999995</v>
      </c>
      <c r="N157">
        <v>65536</v>
      </c>
      <c r="O157">
        <v>5148</v>
      </c>
      <c r="P157">
        <v>0.9214</v>
      </c>
      <c r="Q157">
        <v>42</v>
      </c>
      <c r="R157">
        <v>54.5</v>
      </c>
      <c r="S157" t="b">
        <v>1</v>
      </c>
      <c r="T157">
        <v>0.6</v>
      </c>
      <c r="U157">
        <v>155</v>
      </c>
      <c r="V157">
        <f>Table1[[#This Row],[orig_m]]+Table1[[#This Row],[orig_n]]+Table1[[#This Row],[orig_k]]-2</f>
        <v>94</v>
      </c>
      <c r="W157">
        <f>Table1[[#This Row],[Dense Baseline]]-Table1[[#This Row],[cycles]]</f>
        <v>52</v>
      </c>
      <c r="X157">
        <f>(Table1[[#This Row],[eff_macs]]/Table1[[#This Row],[cycles]])*0.07</f>
        <v>8.58</v>
      </c>
      <c r="Y157">
        <f>(Table1[[#This Row],[orig_macs]]/Table1[[#This Row],[cycles]])*0.07</f>
        <v>109.22666666666667</v>
      </c>
      <c r="Z157">
        <f>(Table1[[#This Row],[Dense-Equivalent Throughput (GOPS)]] / IF(Table1[[#This Row],[config]]=0,144781,7618)) * 1000</f>
        <v>0.75442680093842884</v>
      </c>
      <c r="AA157">
        <f>(Table1[[#This Row],[Dense-Equivalent Throughput (GOPS)]] / 654.74 )/ IF(Table1[[#This Row],[config]]=0, 42381, 7618) * 10^9</f>
        <v>3936.3037712276032</v>
      </c>
      <c r="AB157">
        <f>IF(Table1[[#This Row],[config]]=0, 2860, 2210) * (Table1[[#This Row],[cycles]] / 70) / 1000</f>
        <v>1.716</v>
      </c>
    </row>
    <row r="158" spans="1:28" x14ac:dyDescent="0.25">
      <c r="A158" t="s">
        <v>20</v>
      </c>
      <c r="B158" t="s">
        <v>23</v>
      </c>
      <c r="C158">
        <v>2</v>
      </c>
      <c r="D158">
        <v>61</v>
      </c>
      <c r="E158">
        <v>9</v>
      </c>
      <c r="F158">
        <v>32</v>
      </c>
      <c r="G158">
        <v>32</v>
      </c>
      <c r="H158">
        <v>9</v>
      </c>
      <c r="I158">
        <v>16</v>
      </c>
      <c r="J158">
        <v>3</v>
      </c>
      <c r="K158">
        <v>1</v>
      </c>
      <c r="L158">
        <v>16</v>
      </c>
      <c r="M158">
        <v>0.94279999999999997</v>
      </c>
      <c r="N158">
        <v>18432</v>
      </c>
      <c r="O158">
        <v>864</v>
      </c>
      <c r="P158">
        <v>0.95309999999999995</v>
      </c>
      <c r="Q158">
        <v>26</v>
      </c>
      <c r="R158">
        <v>18.7</v>
      </c>
      <c r="S158" t="b">
        <v>1</v>
      </c>
      <c r="T158">
        <v>0.37142857099999999</v>
      </c>
      <c r="U158">
        <v>156</v>
      </c>
      <c r="V158">
        <f>Table1[[#This Row],[orig_m]]+Table1[[#This Row],[orig_n]]+Table1[[#This Row],[orig_k]]-2</f>
        <v>71</v>
      </c>
      <c r="W158">
        <f>Table1[[#This Row],[Dense Baseline]]-Table1[[#This Row],[cycles]]</f>
        <v>45</v>
      </c>
      <c r="X158">
        <f>(Table1[[#This Row],[eff_macs]]/Table1[[#This Row],[cycles]])*0.07</f>
        <v>2.3261538461538467</v>
      </c>
      <c r="Y158">
        <f>(Table1[[#This Row],[orig_macs]]/Table1[[#This Row],[cycles]])*0.07</f>
        <v>49.624615384615389</v>
      </c>
      <c r="Z158">
        <f>(Table1[[#This Row],[Dense-Equivalent Throughput (GOPS)]] / IF(Table1[[#This Row],[config]]=0,144781,7618)) * 1000</f>
        <v>6.5141264616192425</v>
      </c>
      <c r="AA158">
        <f>(Table1[[#This Row],[Dense-Equivalent Throughput (GOPS)]] / 654.74 )/ IF(Table1[[#This Row],[config]]=0, 42381, 7618) * 10^9</f>
        <v>9949.1805321490101</v>
      </c>
      <c r="AB158">
        <f>IF(Table1[[#This Row],[config]]=0, 2860, 2210) * (Table1[[#This Row],[cycles]] / 70) / 1000</f>
        <v>0.82085714285714284</v>
      </c>
    </row>
    <row r="159" spans="1:28" x14ac:dyDescent="0.25">
      <c r="A159" t="s">
        <v>20</v>
      </c>
      <c r="B159" t="s">
        <v>23</v>
      </c>
      <c r="C159">
        <v>2</v>
      </c>
      <c r="D159">
        <v>62</v>
      </c>
      <c r="E159">
        <v>9</v>
      </c>
      <c r="F159">
        <v>32</v>
      </c>
      <c r="G159">
        <v>32</v>
      </c>
      <c r="H159">
        <v>9</v>
      </c>
      <c r="I159">
        <v>17</v>
      </c>
      <c r="J159">
        <v>3</v>
      </c>
      <c r="K159">
        <v>0</v>
      </c>
      <c r="L159">
        <v>32</v>
      </c>
      <c r="M159">
        <v>0.9405</v>
      </c>
      <c r="N159">
        <v>18432</v>
      </c>
      <c r="O159">
        <v>918</v>
      </c>
      <c r="P159">
        <v>0.95020000000000004</v>
      </c>
      <c r="Q159">
        <v>27</v>
      </c>
      <c r="R159">
        <v>19.7</v>
      </c>
      <c r="S159" t="b">
        <v>1</v>
      </c>
      <c r="T159">
        <v>0.38571428600000002</v>
      </c>
      <c r="U159">
        <v>157</v>
      </c>
      <c r="V159">
        <f>Table1[[#This Row],[orig_m]]+Table1[[#This Row],[orig_n]]+Table1[[#This Row],[orig_k]]-2</f>
        <v>71</v>
      </c>
      <c r="W159">
        <f>Table1[[#This Row],[Dense Baseline]]-Table1[[#This Row],[cycles]]</f>
        <v>44</v>
      </c>
      <c r="X159">
        <f>(Table1[[#This Row],[eff_macs]]/Table1[[#This Row],[cycles]])*0.07</f>
        <v>2.3800000000000003</v>
      </c>
      <c r="Y159">
        <f>(Table1[[#This Row],[orig_macs]]/Table1[[#This Row],[cycles]])*0.07</f>
        <v>47.786666666666669</v>
      </c>
      <c r="Z159">
        <f>(Table1[[#This Row],[Dense-Equivalent Throughput (GOPS)]] / IF(Table1[[#This Row],[config]]=0,144781,7618)) * 1000</f>
        <v>0.33006172541056267</v>
      </c>
      <c r="AA159">
        <f>(Table1[[#This Row],[Dense-Equivalent Throughput (GOPS)]] / 654.74 )/ IF(Table1[[#This Row],[config]]=0, 42381, 7618) * 10^9</f>
        <v>1722.1328999120763</v>
      </c>
      <c r="AB159">
        <f>IF(Table1[[#This Row],[config]]=0, 2860, 2210) * (Table1[[#This Row],[cycles]] / 70) / 1000</f>
        <v>1.1031428571428572</v>
      </c>
    </row>
    <row r="160" spans="1:28" x14ac:dyDescent="0.25">
      <c r="A160" t="s">
        <v>20</v>
      </c>
      <c r="B160" t="s">
        <v>23</v>
      </c>
      <c r="C160">
        <v>2</v>
      </c>
      <c r="D160">
        <v>63</v>
      </c>
      <c r="E160">
        <v>9</v>
      </c>
      <c r="F160">
        <v>32</v>
      </c>
      <c r="G160">
        <v>32</v>
      </c>
      <c r="H160">
        <v>9</v>
      </c>
      <c r="I160">
        <v>17</v>
      </c>
      <c r="J160">
        <v>3</v>
      </c>
      <c r="K160">
        <v>0</v>
      </c>
      <c r="L160">
        <v>32</v>
      </c>
      <c r="M160">
        <v>0.9405</v>
      </c>
      <c r="N160">
        <v>18432</v>
      </c>
      <c r="O160">
        <v>918</v>
      </c>
      <c r="P160">
        <v>0.95020000000000004</v>
      </c>
      <c r="Q160">
        <v>27</v>
      </c>
      <c r="R160">
        <v>63.4</v>
      </c>
      <c r="S160" t="b">
        <v>1</v>
      </c>
      <c r="T160">
        <v>0.38571428600000002</v>
      </c>
      <c r="U160">
        <v>158</v>
      </c>
      <c r="V160">
        <f>Table1[[#This Row],[orig_m]]+Table1[[#This Row],[orig_n]]+Table1[[#This Row],[orig_k]]-2</f>
        <v>71</v>
      </c>
      <c r="W160">
        <f>Table1[[#This Row],[Dense Baseline]]-Table1[[#This Row],[cycles]]</f>
        <v>44</v>
      </c>
      <c r="X160">
        <f>(Table1[[#This Row],[eff_macs]]/Table1[[#This Row],[cycles]])*0.07</f>
        <v>2.3800000000000003</v>
      </c>
      <c r="Y160">
        <f>(Table1[[#This Row],[orig_macs]]/Table1[[#This Row],[cycles]])*0.07</f>
        <v>47.786666666666669</v>
      </c>
      <c r="Z160">
        <f>(Table1[[#This Row],[Dense-Equivalent Throughput (GOPS)]] / IF(Table1[[#This Row],[config]]=0,144781,7618)) * 1000</f>
        <v>0.33006172541056267</v>
      </c>
      <c r="AA160">
        <f>(Table1[[#This Row],[Dense-Equivalent Throughput (GOPS)]] / 654.74 )/ IF(Table1[[#This Row],[config]]=0, 42381, 7618) * 10^9</f>
        <v>1722.1328999120763</v>
      </c>
      <c r="AB160">
        <f>IF(Table1[[#This Row],[config]]=0, 2860, 2210) * (Table1[[#This Row],[cycles]] / 70) / 1000</f>
        <v>1.1031428571428572</v>
      </c>
    </row>
    <row r="161" spans="1:28" x14ac:dyDescent="0.25">
      <c r="A161" t="s">
        <v>20</v>
      </c>
      <c r="B161" t="s">
        <v>23</v>
      </c>
      <c r="C161">
        <v>2</v>
      </c>
      <c r="D161">
        <v>64</v>
      </c>
      <c r="E161">
        <v>9</v>
      </c>
      <c r="F161">
        <v>32</v>
      </c>
      <c r="G161">
        <v>32</v>
      </c>
      <c r="H161">
        <v>9</v>
      </c>
      <c r="I161">
        <v>15</v>
      </c>
      <c r="J161">
        <v>3</v>
      </c>
      <c r="K161">
        <v>1</v>
      </c>
      <c r="L161">
        <v>16</v>
      </c>
      <c r="M161">
        <v>0.94510000000000005</v>
      </c>
      <c r="N161">
        <v>18432</v>
      </c>
      <c r="O161">
        <v>810</v>
      </c>
      <c r="P161">
        <v>0.95609999999999995</v>
      </c>
      <c r="Q161">
        <v>25</v>
      </c>
      <c r="R161">
        <v>19.899999999999999</v>
      </c>
      <c r="S161" t="b">
        <v>1</v>
      </c>
      <c r="T161">
        <v>0.35714285699999998</v>
      </c>
      <c r="U161">
        <v>159</v>
      </c>
      <c r="V161">
        <f>Table1[[#This Row],[orig_m]]+Table1[[#This Row],[orig_n]]+Table1[[#This Row],[orig_k]]-2</f>
        <v>71</v>
      </c>
      <c r="W161">
        <f>Table1[[#This Row],[Dense Baseline]]-Table1[[#This Row],[cycles]]</f>
        <v>46</v>
      </c>
      <c r="X161">
        <f>(Table1[[#This Row],[eff_macs]]/Table1[[#This Row],[cycles]])*0.07</f>
        <v>2.2680000000000002</v>
      </c>
      <c r="Y161">
        <f>(Table1[[#This Row],[orig_macs]]/Table1[[#This Row],[cycles]])*0.07</f>
        <v>51.6096</v>
      </c>
      <c r="Z161">
        <f>(Table1[[#This Row],[Dense-Equivalent Throughput (GOPS)]] / IF(Table1[[#This Row],[config]]=0,144781,7618)) * 1000</f>
        <v>6.7746915200840121</v>
      </c>
      <c r="AA161">
        <f>(Table1[[#This Row],[Dense-Equivalent Throughput (GOPS)]] / 654.74 )/ IF(Table1[[#This Row],[config]]=0, 42381, 7618) * 10^9</f>
        <v>10347.147753434969</v>
      </c>
      <c r="AB161">
        <f>IF(Table1[[#This Row],[config]]=0, 2860, 2210) * (Table1[[#This Row],[cycles]] / 70) / 1000</f>
        <v>0.78928571428571437</v>
      </c>
    </row>
    <row r="162" spans="1:28" x14ac:dyDescent="0.25">
      <c r="A162" t="s">
        <v>20</v>
      </c>
      <c r="B162" t="s">
        <v>23</v>
      </c>
      <c r="C162">
        <v>2</v>
      </c>
      <c r="D162">
        <v>65</v>
      </c>
      <c r="E162">
        <v>9</v>
      </c>
      <c r="F162">
        <v>32</v>
      </c>
      <c r="G162">
        <v>32</v>
      </c>
      <c r="H162">
        <v>9</v>
      </c>
      <c r="I162">
        <v>18</v>
      </c>
      <c r="J162">
        <v>3</v>
      </c>
      <c r="K162">
        <v>0</v>
      </c>
      <c r="L162">
        <v>32</v>
      </c>
      <c r="M162">
        <v>0.93830000000000002</v>
      </c>
      <c r="N162">
        <v>18432</v>
      </c>
      <c r="O162">
        <v>972</v>
      </c>
      <c r="P162">
        <v>0.94730000000000003</v>
      </c>
      <c r="Q162">
        <v>28</v>
      </c>
      <c r="R162">
        <v>20.3</v>
      </c>
      <c r="S162" t="b">
        <v>1</v>
      </c>
      <c r="T162">
        <v>0.4</v>
      </c>
      <c r="U162">
        <v>160</v>
      </c>
      <c r="V162">
        <f>Table1[[#This Row],[orig_m]]+Table1[[#This Row],[orig_n]]+Table1[[#This Row],[orig_k]]-2</f>
        <v>71</v>
      </c>
      <c r="W162">
        <f>Table1[[#This Row],[Dense Baseline]]-Table1[[#This Row],[cycles]]</f>
        <v>43</v>
      </c>
      <c r="X162">
        <f>(Table1[[#This Row],[eff_macs]]/Table1[[#This Row],[cycles]])*0.07</f>
        <v>2.4300000000000002</v>
      </c>
      <c r="Y162">
        <f>(Table1[[#This Row],[orig_macs]]/Table1[[#This Row],[cycles]])*0.07</f>
        <v>46.080000000000005</v>
      </c>
      <c r="Z162">
        <f>(Table1[[#This Row],[Dense-Equivalent Throughput (GOPS)]] / IF(Table1[[#This Row],[config]]=0,144781,7618)) * 1000</f>
        <v>0.31827380664589972</v>
      </c>
      <c r="AA162">
        <f>(Table1[[#This Row],[Dense-Equivalent Throughput (GOPS)]] / 654.74 )/ IF(Table1[[#This Row],[config]]=0, 42381, 7618) * 10^9</f>
        <v>1660.628153486645</v>
      </c>
      <c r="AB162">
        <f>IF(Table1[[#This Row],[config]]=0, 2860, 2210) * (Table1[[#This Row],[cycles]] / 70) / 1000</f>
        <v>1.1439999999999999</v>
      </c>
    </row>
    <row r="163" spans="1:28" x14ac:dyDescent="0.25">
      <c r="A163" t="s">
        <v>20</v>
      </c>
      <c r="B163" t="s">
        <v>23</v>
      </c>
      <c r="C163">
        <v>2</v>
      </c>
      <c r="D163">
        <v>66</v>
      </c>
      <c r="E163">
        <v>9</v>
      </c>
      <c r="F163">
        <v>32</v>
      </c>
      <c r="G163">
        <v>32</v>
      </c>
      <c r="H163">
        <v>9</v>
      </c>
      <c r="I163">
        <v>18</v>
      </c>
      <c r="J163">
        <v>3</v>
      </c>
      <c r="K163">
        <v>0</v>
      </c>
      <c r="L163">
        <v>32</v>
      </c>
      <c r="M163">
        <v>0.93830000000000002</v>
      </c>
      <c r="N163">
        <v>18432</v>
      </c>
      <c r="O163">
        <v>972</v>
      </c>
      <c r="P163">
        <v>0.94730000000000003</v>
      </c>
      <c r="Q163">
        <v>28</v>
      </c>
      <c r="R163">
        <v>19.899999999999999</v>
      </c>
      <c r="S163" t="b">
        <v>1</v>
      </c>
      <c r="T163">
        <v>0.4</v>
      </c>
      <c r="U163">
        <v>161</v>
      </c>
      <c r="V163">
        <f>Table1[[#This Row],[orig_m]]+Table1[[#This Row],[orig_n]]+Table1[[#This Row],[orig_k]]-2</f>
        <v>71</v>
      </c>
      <c r="W163">
        <f>Table1[[#This Row],[Dense Baseline]]-Table1[[#This Row],[cycles]]</f>
        <v>43</v>
      </c>
      <c r="X163">
        <f>(Table1[[#This Row],[eff_macs]]/Table1[[#This Row],[cycles]])*0.07</f>
        <v>2.4300000000000002</v>
      </c>
      <c r="Y163">
        <f>(Table1[[#This Row],[orig_macs]]/Table1[[#This Row],[cycles]])*0.07</f>
        <v>46.080000000000005</v>
      </c>
      <c r="Z163">
        <f>(Table1[[#This Row],[Dense-Equivalent Throughput (GOPS)]] / IF(Table1[[#This Row],[config]]=0,144781,7618)) * 1000</f>
        <v>0.31827380664589972</v>
      </c>
      <c r="AA163">
        <f>(Table1[[#This Row],[Dense-Equivalent Throughput (GOPS)]] / 654.74 )/ IF(Table1[[#This Row],[config]]=0, 42381, 7618) * 10^9</f>
        <v>1660.628153486645</v>
      </c>
      <c r="AB163">
        <f>IF(Table1[[#This Row],[config]]=0, 2860, 2210) * (Table1[[#This Row],[cycles]] / 70) / 1000</f>
        <v>1.1439999999999999</v>
      </c>
    </row>
    <row r="164" spans="1:28" x14ac:dyDescent="0.25">
      <c r="A164" t="s">
        <v>20</v>
      </c>
      <c r="B164" t="s">
        <v>23</v>
      </c>
      <c r="C164">
        <v>2</v>
      </c>
      <c r="D164">
        <v>67</v>
      </c>
      <c r="E164">
        <v>9</v>
      </c>
      <c r="F164">
        <v>32</v>
      </c>
      <c r="G164">
        <v>32</v>
      </c>
      <c r="H164">
        <v>9</v>
      </c>
      <c r="I164">
        <v>20</v>
      </c>
      <c r="J164">
        <v>3</v>
      </c>
      <c r="K164">
        <v>0</v>
      </c>
      <c r="L164">
        <v>32</v>
      </c>
      <c r="M164">
        <v>0.93369999999999997</v>
      </c>
      <c r="N164">
        <v>18432</v>
      </c>
      <c r="O164">
        <v>1080</v>
      </c>
      <c r="P164">
        <v>0.94140000000000001</v>
      </c>
      <c r="Q164">
        <v>30</v>
      </c>
      <c r="R164">
        <v>70.099999999999994</v>
      </c>
      <c r="S164" t="b">
        <v>1</v>
      </c>
      <c r="T164">
        <v>0.428571429</v>
      </c>
      <c r="U164">
        <v>162</v>
      </c>
      <c r="V164">
        <f>Table1[[#This Row],[orig_m]]+Table1[[#This Row],[orig_n]]+Table1[[#This Row],[orig_k]]-2</f>
        <v>71</v>
      </c>
      <c r="W164">
        <f>Table1[[#This Row],[Dense Baseline]]-Table1[[#This Row],[cycles]]</f>
        <v>41</v>
      </c>
      <c r="X164">
        <f>(Table1[[#This Row],[eff_macs]]/Table1[[#This Row],[cycles]])*0.07</f>
        <v>2.5200000000000005</v>
      </c>
      <c r="Y164">
        <f>(Table1[[#This Row],[orig_macs]]/Table1[[#This Row],[cycles]])*0.07</f>
        <v>43.008000000000003</v>
      </c>
      <c r="Z164">
        <f>(Table1[[#This Row],[Dense-Equivalent Throughput (GOPS)]] / IF(Table1[[#This Row],[config]]=0,144781,7618)) * 1000</f>
        <v>0.29705555286950636</v>
      </c>
      <c r="AA164">
        <f>(Table1[[#This Row],[Dense-Equivalent Throughput (GOPS)]] / 654.74 )/ IF(Table1[[#This Row],[config]]=0, 42381, 7618) * 10^9</f>
        <v>1549.9196099208687</v>
      </c>
      <c r="AB164">
        <f>IF(Table1[[#This Row],[config]]=0, 2860, 2210) * (Table1[[#This Row],[cycles]] / 70) / 1000</f>
        <v>1.2257142857142855</v>
      </c>
    </row>
    <row r="165" spans="1:28" x14ac:dyDescent="0.25">
      <c r="A165" t="s">
        <v>20</v>
      </c>
      <c r="B165" t="s">
        <v>23</v>
      </c>
      <c r="C165">
        <v>2</v>
      </c>
      <c r="D165">
        <v>68</v>
      </c>
      <c r="E165">
        <v>9</v>
      </c>
      <c r="F165">
        <v>32</v>
      </c>
      <c r="G165">
        <v>32</v>
      </c>
      <c r="H165">
        <v>9</v>
      </c>
      <c r="I165">
        <v>21</v>
      </c>
      <c r="J165">
        <v>3</v>
      </c>
      <c r="K165">
        <v>0</v>
      </c>
      <c r="L165">
        <v>32</v>
      </c>
      <c r="M165">
        <v>0.93140000000000001</v>
      </c>
      <c r="N165">
        <v>18432</v>
      </c>
      <c r="O165">
        <v>1134</v>
      </c>
      <c r="P165">
        <v>0.9385</v>
      </c>
      <c r="Q165">
        <v>31</v>
      </c>
      <c r="R165">
        <v>23.7</v>
      </c>
      <c r="S165" t="b">
        <v>1</v>
      </c>
      <c r="T165">
        <v>0.44285714300000001</v>
      </c>
      <c r="U165">
        <v>163</v>
      </c>
      <c r="V165">
        <f>Table1[[#This Row],[orig_m]]+Table1[[#This Row],[orig_n]]+Table1[[#This Row],[orig_k]]-2</f>
        <v>71</v>
      </c>
      <c r="W165">
        <f>Table1[[#This Row],[Dense Baseline]]-Table1[[#This Row],[cycles]]</f>
        <v>40</v>
      </c>
      <c r="X165">
        <f>(Table1[[#This Row],[eff_macs]]/Table1[[#This Row],[cycles]])*0.07</f>
        <v>2.5606451612903225</v>
      </c>
      <c r="Y165">
        <f>(Table1[[#This Row],[orig_macs]]/Table1[[#This Row],[cycles]])*0.07</f>
        <v>41.620645161290327</v>
      </c>
      <c r="Z165">
        <f>(Table1[[#This Row],[Dense-Equivalent Throughput (GOPS)]] / IF(Table1[[#This Row],[config]]=0,144781,7618)) * 1000</f>
        <v>0.28747311568016748</v>
      </c>
      <c r="AA165">
        <f>(Table1[[#This Row],[Dense-Equivalent Throughput (GOPS)]] / 654.74 )/ IF(Table1[[#This Row],[config]]=0, 42381, 7618) * 10^9</f>
        <v>1499.9222031492279</v>
      </c>
      <c r="AB165">
        <f>IF(Table1[[#This Row],[config]]=0, 2860, 2210) * (Table1[[#This Row],[cycles]] / 70) / 1000</f>
        <v>1.2665714285714285</v>
      </c>
    </row>
    <row r="166" spans="1:28" x14ac:dyDescent="0.25">
      <c r="A166" t="s">
        <v>20</v>
      </c>
      <c r="B166" t="s">
        <v>23</v>
      </c>
      <c r="C166">
        <v>2</v>
      </c>
      <c r="D166">
        <v>69</v>
      </c>
      <c r="E166">
        <v>9</v>
      </c>
      <c r="F166">
        <v>32</v>
      </c>
      <c r="G166">
        <v>32</v>
      </c>
      <c r="H166">
        <v>9</v>
      </c>
      <c r="I166">
        <v>17</v>
      </c>
      <c r="J166">
        <v>3</v>
      </c>
      <c r="K166">
        <v>0</v>
      </c>
      <c r="L166">
        <v>32</v>
      </c>
      <c r="M166">
        <v>0.9405</v>
      </c>
      <c r="N166">
        <v>18432</v>
      </c>
      <c r="O166">
        <v>918</v>
      </c>
      <c r="P166">
        <v>0.95020000000000004</v>
      </c>
      <c r="Q166">
        <v>27</v>
      </c>
      <c r="R166">
        <v>21.4</v>
      </c>
      <c r="S166" t="b">
        <v>1</v>
      </c>
      <c r="T166">
        <v>0.38571428600000002</v>
      </c>
      <c r="U166">
        <v>164</v>
      </c>
      <c r="V166">
        <f>Table1[[#This Row],[orig_m]]+Table1[[#This Row],[orig_n]]+Table1[[#This Row],[orig_k]]-2</f>
        <v>71</v>
      </c>
      <c r="W166">
        <f>Table1[[#This Row],[Dense Baseline]]-Table1[[#This Row],[cycles]]</f>
        <v>44</v>
      </c>
      <c r="X166">
        <f>(Table1[[#This Row],[eff_macs]]/Table1[[#This Row],[cycles]])*0.07</f>
        <v>2.3800000000000003</v>
      </c>
      <c r="Y166">
        <f>(Table1[[#This Row],[orig_macs]]/Table1[[#This Row],[cycles]])*0.07</f>
        <v>47.786666666666669</v>
      </c>
      <c r="Z166">
        <f>(Table1[[#This Row],[Dense-Equivalent Throughput (GOPS)]] / IF(Table1[[#This Row],[config]]=0,144781,7618)) * 1000</f>
        <v>0.33006172541056267</v>
      </c>
      <c r="AA166">
        <f>(Table1[[#This Row],[Dense-Equivalent Throughput (GOPS)]] / 654.74 )/ IF(Table1[[#This Row],[config]]=0, 42381, 7618) * 10^9</f>
        <v>1722.1328999120763</v>
      </c>
      <c r="AB166">
        <f>IF(Table1[[#This Row],[config]]=0, 2860, 2210) * (Table1[[#This Row],[cycles]] / 70) / 1000</f>
        <v>1.1031428571428572</v>
      </c>
    </row>
    <row r="167" spans="1:28" x14ac:dyDescent="0.25">
      <c r="A167" t="s">
        <v>20</v>
      </c>
      <c r="B167" t="s">
        <v>23</v>
      </c>
      <c r="C167">
        <v>2</v>
      </c>
      <c r="D167">
        <v>70</v>
      </c>
      <c r="E167">
        <v>9</v>
      </c>
      <c r="F167">
        <v>32</v>
      </c>
      <c r="G167">
        <v>32</v>
      </c>
      <c r="H167">
        <v>9</v>
      </c>
      <c r="I167">
        <v>19</v>
      </c>
      <c r="J167">
        <v>3</v>
      </c>
      <c r="K167">
        <v>0</v>
      </c>
      <c r="L167">
        <v>32</v>
      </c>
      <c r="M167">
        <v>0.93600000000000005</v>
      </c>
      <c r="N167">
        <v>18432</v>
      </c>
      <c r="O167">
        <v>1026</v>
      </c>
      <c r="P167">
        <v>0.94430000000000003</v>
      </c>
      <c r="Q167">
        <v>29</v>
      </c>
      <c r="R167">
        <v>46</v>
      </c>
      <c r="S167" t="b">
        <v>1</v>
      </c>
      <c r="T167">
        <v>0.41428571400000003</v>
      </c>
      <c r="U167">
        <v>165</v>
      </c>
      <c r="V167">
        <f>Table1[[#This Row],[orig_m]]+Table1[[#This Row],[orig_n]]+Table1[[#This Row],[orig_k]]-2</f>
        <v>71</v>
      </c>
      <c r="W167">
        <f>Table1[[#This Row],[Dense Baseline]]-Table1[[#This Row],[cycles]]</f>
        <v>42</v>
      </c>
      <c r="X167">
        <f>(Table1[[#This Row],[eff_macs]]/Table1[[#This Row],[cycles]])*0.07</f>
        <v>2.4765517241379311</v>
      </c>
      <c r="Y167">
        <f>(Table1[[#This Row],[orig_macs]]/Table1[[#This Row],[cycles]])*0.07</f>
        <v>44.491034482758629</v>
      </c>
      <c r="Z167">
        <f>(Table1[[#This Row],[Dense-Equivalent Throughput (GOPS)]] / IF(Table1[[#This Row],[config]]=0,144781,7618)) * 1000</f>
        <v>0.30729884779604111</v>
      </c>
      <c r="AA167">
        <f>(Table1[[#This Row],[Dense-Equivalent Throughput (GOPS)]] / 654.74 )/ IF(Table1[[#This Row],[config]]=0, 42381, 7618) * 10^9</f>
        <v>1603.3651137112436</v>
      </c>
      <c r="AB167">
        <f>IF(Table1[[#This Row],[config]]=0, 2860, 2210) * (Table1[[#This Row],[cycles]] / 70) / 1000</f>
        <v>1.1848571428571428</v>
      </c>
    </row>
    <row r="168" spans="1:28" x14ac:dyDescent="0.25">
      <c r="A168" t="s">
        <v>20</v>
      </c>
      <c r="B168" t="s">
        <v>23</v>
      </c>
      <c r="C168">
        <v>2</v>
      </c>
      <c r="D168">
        <v>71</v>
      </c>
      <c r="E168">
        <v>9</v>
      </c>
      <c r="F168">
        <v>32</v>
      </c>
      <c r="G168">
        <v>32</v>
      </c>
      <c r="H168">
        <v>9</v>
      </c>
      <c r="I168">
        <v>20</v>
      </c>
      <c r="J168">
        <v>3</v>
      </c>
      <c r="K168">
        <v>0</v>
      </c>
      <c r="L168">
        <v>32</v>
      </c>
      <c r="M168">
        <v>0.93369999999999997</v>
      </c>
      <c r="N168">
        <v>18432</v>
      </c>
      <c r="O168">
        <v>1080</v>
      </c>
      <c r="P168">
        <v>0.94140000000000001</v>
      </c>
      <c r="Q168">
        <v>30</v>
      </c>
      <c r="R168">
        <v>44.7</v>
      </c>
      <c r="S168" t="b">
        <v>1</v>
      </c>
      <c r="T168">
        <v>0.428571429</v>
      </c>
      <c r="U168">
        <v>166</v>
      </c>
      <c r="V168">
        <f>Table1[[#This Row],[orig_m]]+Table1[[#This Row],[orig_n]]+Table1[[#This Row],[orig_k]]-2</f>
        <v>71</v>
      </c>
      <c r="W168">
        <f>Table1[[#This Row],[Dense Baseline]]-Table1[[#This Row],[cycles]]</f>
        <v>41</v>
      </c>
      <c r="X168">
        <f>(Table1[[#This Row],[eff_macs]]/Table1[[#This Row],[cycles]])*0.07</f>
        <v>2.5200000000000005</v>
      </c>
      <c r="Y168">
        <f>(Table1[[#This Row],[orig_macs]]/Table1[[#This Row],[cycles]])*0.07</f>
        <v>43.008000000000003</v>
      </c>
      <c r="Z168">
        <f>(Table1[[#This Row],[Dense-Equivalent Throughput (GOPS)]] / IF(Table1[[#This Row],[config]]=0,144781,7618)) * 1000</f>
        <v>0.29705555286950636</v>
      </c>
      <c r="AA168">
        <f>(Table1[[#This Row],[Dense-Equivalent Throughput (GOPS)]] / 654.74 )/ IF(Table1[[#This Row],[config]]=0, 42381, 7618) * 10^9</f>
        <v>1549.9196099208687</v>
      </c>
      <c r="AB168">
        <f>IF(Table1[[#This Row],[config]]=0, 2860, 2210) * (Table1[[#This Row],[cycles]] / 70) / 1000</f>
        <v>1.2257142857142855</v>
      </c>
    </row>
    <row r="169" spans="1:28" x14ac:dyDescent="0.25">
      <c r="A169" t="s">
        <v>20</v>
      </c>
      <c r="B169" t="s">
        <v>23</v>
      </c>
      <c r="C169">
        <v>2</v>
      </c>
      <c r="D169">
        <v>72</v>
      </c>
      <c r="E169">
        <v>9</v>
      </c>
      <c r="F169">
        <v>32</v>
      </c>
      <c r="G169">
        <v>32</v>
      </c>
      <c r="H169">
        <v>9</v>
      </c>
      <c r="I169">
        <v>13</v>
      </c>
      <c r="J169">
        <v>3</v>
      </c>
      <c r="K169">
        <v>1</v>
      </c>
      <c r="L169">
        <v>16</v>
      </c>
      <c r="M169">
        <v>0.94969999999999999</v>
      </c>
      <c r="N169">
        <v>18432</v>
      </c>
      <c r="O169">
        <v>702</v>
      </c>
      <c r="P169">
        <v>0.96189999999999998</v>
      </c>
      <c r="Q169">
        <v>23</v>
      </c>
      <c r="R169">
        <v>36</v>
      </c>
      <c r="S169" t="b">
        <v>1</v>
      </c>
      <c r="T169">
        <v>0.32857142900000003</v>
      </c>
      <c r="U169">
        <v>167</v>
      </c>
      <c r="V169">
        <f>Table1[[#This Row],[orig_m]]+Table1[[#This Row],[orig_n]]+Table1[[#This Row],[orig_k]]-2</f>
        <v>71</v>
      </c>
      <c r="W169">
        <f>Table1[[#This Row],[Dense Baseline]]-Table1[[#This Row],[cycles]]</f>
        <v>48</v>
      </c>
      <c r="X169">
        <f>(Table1[[#This Row],[eff_macs]]/Table1[[#This Row],[cycles]])*0.07</f>
        <v>2.1365217391304347</v>
      </c>
      <c r="Y169">
        <f>(Table1[[#This Row],[orig_macs]]/Table1[[#This Row],[cycles]])*0.07</f>
        <v>56.09739130434783</v>
      </c>
      <c r="Z169">
        <f>(Table1[[#This Row],[Dense-Equivalent Throughput (GOPS)]] / IF(Table1[[#This Row],[config]]=0,144781,7618)) * 1000</f>
        <v>7.3637951305260998</v>
      </c>
      <c r="AA169">
        <f>(Table1[[#This Row],[Dense-Equivalent Throughput (GOPS)]] / 654.74 )/ IF(Table1[[#This Row],[config]]=0, 42381, 7618) * 10^9</f>
        <v>11246.899731994532</v>
      </c>
      <c r="AB169">
        <f>IF(Table1[[#This Row],[config]]=0, 2860, 2210) * (Table1[[#This Row],[cycles]] / 70) / 1000</f>
        <v>0.72614285714285709</v>
      </c>
    </row>
    <row r="170" spans="1:28" x14ac:dyDescent="0.25">
      <c r="A170" t="s">
        <v>20</v>
      </c>
      <c r="B170" t="s">
        <v>24</v>
      </c>
      <c r="C170">
        <v>3</v>
      </c>
      <c r="D170">
        <v>1</v>
      </c>
      <c r="E170">
        <v>32</v>
      </c>
      <c r="F170">
        <v>32</v>
      </c>
      <c r="G170">
        <v>32</v>
      </c>
      <c r="H170">
        <v>23</v>
      </c>
      <c r="I170">
        <v>18</v>
      </c>
      <c r="J170">
        <v>19</v>
      </c>
      <c r="K170">
        <v>0</v>
      </c>
      <c r="L170">
        <v>32</v>
      </c>
      <c r="M170">
        <v>0.61960000000000004</v>
      </c>
      <c r="N170">
        <v>65536</v>
      </c>
      <c r="O170">
        <v>15732</v>
      </c>
      <c r="P170">
        <v>0.75990000000000002</v>
      </c>
      <c r="Q170">
        <v>58</v>
      </c>
      <c r="R170">
        <v>50.5</v>
      </c>
      <c r="S170" t="b">
        <v>1</v>
      </c>
      <c r="T170">
        <v>0.82857142900000003</v>
      </c>
      <c r="U170">
        <v>168</v>
      </c>
      <c r="V170">
        <f>Table1[[#This Row],[orig_m]]+Table1[[#This Row],[orig_n]]+Table1[[#This Row],[orig_k]]-2</f>
        <v>94</v>
      </c>
      <c r="W170">
        <f>Table1[[#This Row],[Dense Baseline]]-Table1[[#This Row],[cycles]]</f>
        <v>36</v>
      </c>
      <c r="X170">
        <f>(Table1[[#This Row],[eff_macs]]/Table1[[#This Row],[cycles]])*0.07</f>
        <v>18.98689655172414</v>
      </c>
      <c r="Y170">
        <f>(Table1[[#This Row],[orig_macs]]/Table1[[#This Row],[cycles]])*0.07</f>
        <v>79.095172413793108</v>
      </c>
      <c r="Z170">
        <f>(Table1[[#This Row],[Dense-Equivalent Throughput (GOPS)]] / IF(Table1[[#This Row],[config]]=0,144781,7618)) * 1000</f>
        <v>0.54630906274851743</v>
      </c>
      <c r="AA170">
        <f>(Table1[[#This Row],[Dense-Equivalent Throughput (GOPS)]] / 654.74 )/ IF(Table1[[#This Row],[config]]=0, 42381, 7618) * 10^9</f>
        <v>2850.4268688199882</v>
      </c>
      <c r="AB170">
        <f>IF(Table1[[#This Row],[config]]=0, 2860, 2210) * (Table1[[#This Row],[cycles]] / 70) / 1000</f>
        <v>2.3697142857142857</v>
      </c>
    </row>
    <row r="171" spans="1:28" x14ac:dyDescent="0.25">
      <c r="A171" t="s">
        <v>20</v>
      </c>
      <c r="B171" t="s">
        <v>24</v>
      </c>
      <c r="C171">
        <v>3</v>
      </c>
      <c r="D171">
        <v>2</v>
      </c>
      <c r="E171">
        <v>32</v>
      </c>
      <c r="F171">
        <v>32</v>
      </c>
      <c r="G171">
        <v>32</v>
      </c>
      <c r="H171">
        <v>23</v>
      </c>
      <c r="I171">
        <v>18</v>
      </c>
      <c r="J171">
        <v>19</v>
      </c>
      <c r="K171">
        <v>0</v>
      </c>
      <c r="L171">
        <v>32</v>
      </c>
      <c r="M171">
        <v>0.61960000000000004</v>
      </c>
      <c r="N171">
        <v>65536</v>
      </c>
      <c r="O171">
        <v>15732</v>
      </c>
      <c r="P171">
        <v>0.75990000000000002</v>
      </c>
      <c r="Q171">
        <v>58</v>
      </c>
      <c r="R171">
        <v>57.6</v>
      </c>
      <c r="S171" t="b">
        <v>1</v>
      </c>
      <c r="T171">
        <v>0.82857142900000003</v>
      </c>
      <c r="U171">
        <v>169</v>
      </c>
      <c r="V171">
        <f>Table1[[#This Row],[orig_m]]+Table1[[#This Row],[orig_n]]+Table1[[#This Row],[orig_k]]-2</f>
        <v>94</v>
      </c>
      <c r="W171">
        <f>Table1[[#This Row],[Dense Baseline]]-Table1[[#This Row],[cycles]]</f>
        <v>36</v>
      </c>
      <c r="X171">
        <f>(Table1[[#This Row],[eff_macs]]/Table1[[#This Row],[cycles]])*0.07</f>
        <v>18.98689655172414</v>
      </c>
      <c r="Y171">
        <f>(Table1[[#This Row],[orig_macs]]/Table1[[#This Row],[cycles]])*0.07</f>
        <v>79.095172413793108</v>
      </c>
      <c r="Z171">
        <f>(Table1[[#This Row],[Dense-Equivalent Throughput (GOPS)]] / IF(Table1[[#This Row],[config]]=0,144781,7618)) * 1000</f>
        <v>0.54630906274851743</v>
      </c>
      <c r="AA171">
        <f>(Table1[[#This Row],[Dense-Equivalent Throughput (GOPS)]] / 654.74 )/ IF(Table1[[#This Row],[config]]=0, 42381, 7618) * 10^9</f>
        <v>2850.4268688199882</v>
      </c>
      <c r="AB171">
        <f>IF(Table1[[#This Row],[config]]=0, 2860, 2210) * (Table1[[#This Row],[cycles]] / 70) / 1000</f>
        <v>2.3697142857142857</v>
      </c>
    </row>
    <row r="172" spans="1:28" x14ac:dyDescent="0.25">
      <c r="A172" t="s">
        <v>20</v>
      </c>
      <c r="B172" t="s">
        <v>24</v>
      </c>
      <c r="C172">
        <v>3</v>
      </c>
      <c r="D172">
        <v>3</v>
      </c>
      <c r="E172">
        <v>32</v>
      </c>
      <c r="F172">
        <v>32</v>
      </c>
      <c r="G172">
        <v>32</v>
      </c>
      <c r="H172">
        <v>23</v>
      </c>
      <c r="I172">
        <v>22</v>
      </c>
      <c r="J172">
        <v>19</v>
      </c>
      <c r="K172">
        <v>0</v>
      </c>
      <c r="L172">
        <v>32</v>
      </c>
      <c r="M172">
        <v>0.58250000000000002</v>
      </c>
      <c r="N172">
        <v>65536</v>
      </c>
      <c r="O172">
        <v>19228</v>
      </c>
      <c r="P172">
        <v>0.70660000000000001</v>
      </c>
      <c r="Q172">
        <v>62</v>
      </c>
      <c r="R172">
        <v>55.9</v>
      </c>
      <c r="S172" t="b">
        <v>1</v>
      </c>
      <c r="T172">
        <v>0.88571428600000002</v>
      </c>
      <c r="U172">
        <v>170</v>
      </c>
      <c r="V172">
        <f>Table1[[#This Row],[orig_m]]+Table1[[#This Row],[orig_n]]+Table1[[#This Row],[orig_k]]-2</f>
        <v>94</v>
      </c>
      <c r="W172">
        <f>Table1[[#This Row],[Dense Baseline]]-Table1[[#This Row],[cycles]]</f>
        <v>32</v>
      </c>
      <c r="X172">
        <f>(Table1[[#This Row],[eff_macs]]/Table1[[#This Row],[cycles]])*0.07</f>
        <v>21.709032258064518</v>
      </c>
      <c r="Y172">
        <f>(Table1[[#This Row],[orig_macs]]/Table1[[#This Row],[cycles]])*0.07</f>
        <v>73.992258064516136</v>
      </c>
      <c r="Z172">
        <f>(Table1[[#This Row],[Dense-Equivalent Throughput (GOPS)]] / IF(Table1[[#This Row],[config]]=0,144781,7618)) * 1000</f>
        <v>0.51106331676474215</v>
      </c>
      <c r="AA172">
        <f>(Table1[[#This Row],[Dense-Equivalent Throughput (GOPS)]] / 654.74 )/ IF(Table1[[#This Row],[config]]=0, 42381, 7618) * 10^9</f>
        <v>2666.5283611541827</v>
      </c>
      <c r="AB172">
        <f>IF(Table1[[#This Row],[config]]=0, 2860, 2210) * (Table1[[#This Row],[cycles]] / 70) / 1000</f>
        <v>2.5331428571428569</v>
      </c>
    </row>
    <row r="173" spans="1:28" x14ac:dyDescent="0.25">
      <c r="A173" t="s">
        <v>20</v>
      </c>
      <c r="B173" t="s">
        <v>24</v>
      </c>
      <c r="C173">
        <v>3</v>
      </c>
      <c r="D173">
        <v>4</v>
      </c>
      <c r="E173">
        <v>32</v>
      </c>
      <c r="F173">
        <v>32</v>
      </c>
      <c r="G173">
        <v>32</v>
      </c>
      <c r="H173">
        <v>23</v>
      </c>
      <c r="I173">
        <v>13</v>
      </c>
      <c r="J173">
        <v>19</v>
      </c>
      <c r="K173">
        <v>0</v>
      </c>
      <c r="L173">
        <v>32</v>
      </c>
      <c r="M173">
        <v>0.66600000000000004</v>
      </c>
      <c r="N173">
        <v>65536</v>
      </c>
      <c r="O173">
        <v>11362</v>
      </c>
      <c r="P173">
        <v>0.8266</v>
      </c>
      <c r="Q173">
        <v>53</v>
      </c>
      <c r="R173">
        <v>40.799999999999997</v>
      </c>
      <c r="S173" t="b">
        <v>1</v>
      </c>
      <c r="T173">
        <v>0.75714285699999995</v>
      </c>
      <c r="U173">
        <v>171</v>
      </c>
      <c r="V173">
        <f>Table1[[#This Row],[orig_m]]+Table1[[#This Row],[orig_n]]+Table1[[#This Row],[orig_k]]-2</f>
        <v>94</v>
      </c>
      <c r="W173">
        <f>Table1[[#This Row],[Dense Baseline]]-Table1[[#This Row],[cycles]]</f>
        <v>41</v>
      </c>
      <c r="X173">
        <f>(Table1[[#This Row],[eff_macs]]/Table1[[#This Row],[cycles]])*0.07</f>
        <v>15.006415094339623</v>
      </c>
      <c r="Y173">
        <f>(Table1[[#This Row],[orig_macs]]/Table1[[#This Row],[cycles]])*0.07</f>
        <v>86.556981132075478</v>
      </c>
      <c r="Z173">
        <f>(Table1[[#This Row],[Dense-Equivalent Throughput (GOPS)]] / IF(Table1[[#This Row],[config]]=0,144781,7618)) * 1000</f>
        <v>0.59784765357384928</v>
      </c>
      <c r="AA173">
        <f>(Table1[[#This Row],[Dense-Equivalent Throughput (GOPS)]] / 654.74 )/ IF(Table1[[#This Row],[config]]=0, 42381, 7618) * 10^9</f>
        <v>3119.3350639916853</v>
      </c>
      <c r="AB173">
        <f>IF(Table1[[#This Row],[config]]=0, 2860, 2210) * (Table1[[#This Row],[cycles]] / 70) / 1000</f>
        <v>2.1654285714285715</v>
      </c>
    </row>
    <row r="174" spans="1:28" x14ac:dyDescent="0.25">
      <c r="A174" t="s">
        <v>20</v>
      </c>
      <c r="B174" t="s">
        <v>24</v>
      </c>
      <c r="C174">
        <v>3</v>
      </c>
      <c r="D174">
        <v>5</v>
      </c>
      <c r="E174">
        <v>32</v>
      </c>
      <c r="F174">
        <v>32</v>
      </c>
      <c r="G174">
        <v>32</v>
      </c>
      <c r="H174">
        <v>23</v>
      </c>
      <c r="I174">
        <v>18</v>
      </c>
      <c r="J174">
        <v>19</v>
      </c>
      <c r="K174">
        <v>0</v>
      </c>
      <c r="L174">
        <v>32</v>
      </c>
      <c r="M174">
        <v>0.61960000000000004</v>
      </c>
      <c r="N174">
        <v>65536</v>
      </c>
      <c r="O174">
        <v>15732</v>
      </c>
      <c r="P174">
        <v>0.75990000000000002</v>
      </c>
      <c r="Q174">
        <v>58</v>
      </c>
      <c r="R174">
        <v>88.4</v>
      </c>
      <c r="S174" t="b">
        <v>1</v>
      </c>
      <c r="T174">
        <v>0.82857142900000003</v>
      </c>
      <c r="U174">
        <v>172</v>
      </c>
      <c r="V174">
        <f>Table1[[#This Row],[orig_m]]+Table1[[#This Row],[orig_n]]+Table1[[#This Row],[orig_k]]-2</f>
        <v>94</v>
      </c>
      <c r="W174">
        <f>Table1[[#This Row],[Dense Baseline]]-Table1[[#This Row],[cycles]]</f>
        <v>36</v>
      </c>
      <c r="X174">
        <f>(Table1[[#This Row],[eff_macs]]/Table1[[#This Row],[cycles]])*0.07</f>
        <v>18.98689655172414</v>
      </c>
      <c r="Y174">
        <f>(Table1[[#This Row],[orig_macs]]/Table1[[#This Row],[cycles]])*0.07</f>
        <v>79.095172413793108</v>
      </c>
      <c r="Z174">
        <f>(Table1[[#This Row],[Dense-Equivalent Throughput (GOPS)]] / IF(Table1[[#This Row],[config]]=0,144781,7618)) * 1000</f>
        <v>0.54630906274851743</v>
      </c>
      <c r="AA174">
        <f>(Table1[[#This Row],[Dense-Equivalent Throughput (GOPS)]] / 654.74 )/ IF(Table1[[#This Row],[config]]=0, 42381, 7618) * 10^9</f>
        <v>2850.4268688199882</v>
      </c>
      <c r="AB174">
        <f>IF(Table1[[#This Row],[config]]=0, 2860, 2210) * (Table1[[#This Row],[cycles]] / 70) / 1000</f>
        <v>2.3697142857142857</v>
      </c>
    </row>
    <row r="175" spans="1:28" x14ac:dyDescent="0.25">
      <c r="A175" t="s">
        <v>20</v>
      </c>
      <c r="B175" t="s">
        <v>24</v>
      </c>
      <c r="C175">
        <v>3</v>
      </c>
      <c r="D175">
        <v>6</v>
      </c>
      <c r="E175">
        <v>32</v>
      </c>
      <c r="F175">
        <v>32</v>
      </c>
      <c r="G175">
        <v>32</v>
      </c>
      <c r="H175">
        <v>23</v>
      </c>
      <c r="I175">
        <v>17</v>
      </c>
      <c r="J175">
        <v>19</v>
      </c>
      <c r="K175">
        <v>0</v>
      </c>
      <c r="L175">
        <v>32</v>
      </c>
      <c r="M175">
        <v>0.62890000000000001</v>
      </c>
      <c r="N175">
        <v>65536</v>
      </c>
      <c r="O175">
        <v>14858</v>
      </c>
      <c r="P175">
        <v>0.77329999999999999</v>
      </c>
      <c r="Q175">
        <v>57</v>
      </c>
      <c r="R175">
        <v>180</v>
      </c>
      <c r="S175" t="b">
        <v>1</v>
      </c>
      <c r="T175">
        <v>0.81428571400000005</v>
      </c>
      <c r="U175">
        <v>173</v>
      </c>
      <c r="V175">
        <f>Table1[[#This Row],[orig_m]]+Table1[[#This Row],[orig_n]]+Table1[[#This Row],[orig_k]]-2</f>
        <v>94</v>
      </c>
      <c r="W175">
        <f>Table1[[#This Row],[Dense Baseline]]-Table1[[#This Row],[cycles]]</f>
        <v>37</v>
      </c>
      <c r="X175">
        <f>(Table1[[#This Row],[eff_macs]]/Table1[[#This Row],[cycles]])*0.07</f>
        <v>18.24666666666667</v>
      </c>
      <c r="Y175">
        <f>(Table1[[#This Row],[orig_macs]]/Table1[[#This Row],[cycles]])*0.07</f>
        <v>80.482807017543863</v>
      </c>
      <c r="Z175">
        <f>(Table1[[#This Row],[Dense-Equivalent Throughput (GOPS)]] / IF(Table1[[#This Row],[config]]=0,144781,7618)) * 1000</f>
        <v>0.55589343227042132</v>
      </c>
      <c r="AA175">
        <f>(Table1[[#This Row],[Dense-Equivalent Throughput (GOPS)]] / 654.74 )/ IF(Table1[[#This Row],[config]]=0, 42381, 7618) * 10^9</f>
        <v>2900.4343577466548</v>
      </c>
      <c r="AB175">
        <f>IF(Table1[[#This Row],[config]]=0, 2860, 2210) * (Table1[[#This Row],[cycles]] / 70) / 1000</f>
        <v>2.3288571428571427</v>
      </c>
    </row>
    <row r="176" spans="1:28" x14ac:dyDescent="0.25">
      <c r="A176" t="s">
        <v>20</v>
      </c>
      <c r="B176" t="s">
        <v>24</v>
      </c>
      <c r="C176">
        <v>3</v>
      </c>
      <c r="D176">
        <v>7</v>
      </c>
      <c r="E176">
        <v>32</v>
      </c>
      <c r="F176">
        <v>32</v>
      </c>
      <c r="G176">
        <v>32</v>
      </c>
      <c r="H176">
        <v>28</v>
      </c>
      <c r="I176">
        <v>18</v>
      </c>
      <c r="J176">
        <v>25</v>
      </c>
      <c r="K176">
        <v>0</v>
      </c>
      <c r="L176">
        <v>32</v>
      </c>
      <c r="M176">
        <v>0.4385</v>
      </c>
      <c r="N176">
        <v>65536</v>
      </c>
      <c r="O176">
        <v>25200</v>
      </c>
      <c r="P176">
        <v>0.61550000000000005</v>
      </c>
      <c r="Q176">
        <v>69</v>
      </c>
      <c r="R176">
        <v>84</v>
      </c>
      <c r="S176" t="b">
        <v>1</v>
      </c>
      <c r="T176">
        <v>0.985714286</v>
      </c>
      <c r="U176">
        <v>174</v>
      </c>
      <c r="V176">
        <f>Table1[[#This Row],[orig_m]]+Table1[[#This Row],[orig_n]]+Table1[[#This Row],[orig_k]]-2</f>
        <v>94</v>
      </c>
      <c r="W176">
        <f>Table1[[#This Row],[Dense Baseline]]-Table1[[#This Row],[cycles]]</f>
        <v>25</v>
      </c>
      <c r="X176">
        <f>(Table1[[#This Row],[eff_macs]]/Table1[[#This Row],[cycles]])*0.07</f>
        <v>25.565217391304348</v>
      </c>
      <c r="Y176">
        <f>(Table1[[#This Row],[orig_macs]]/Table1[[#This Row],[cycles]])*0.07</f>
        <v>66.485797101449279</v>
      </c>
      <c r="Z176">
        <f>(Table1[[#This Row],[Dense-Equivalent Throughput (GOPS)]] / IF(Table1[[#This Row],[config]]=0,144781,7618)) * 1000</f>
        <v>0.45921631361469584</v>
      </c>
      <c r="AA176">
        <f>(Table1[[#This Row],[Dense-Equivalent Throughput (GOPS)]] / 654.74 )/ IF(Table1[[#This Row],[config]]=0, 42381, 7618) * 10^9</f>
        <v>2396.0109911820191</v>
      </c>
      <c r="AB176">
        <f>IF(Table1[[#This Row],[config]]=0, 2860, 2210) * (Table1[[#This Row],[cycles]] / 70) / 1000</f>
        <v>2.8191428571428574</v>
      </c>
    </row>
    <row r="177" spans="1:28" x14ac:dyDescent="0.25">
      <c r="A177" t="s">
        <v>20</v>
      </c>
      <c r="B177" t="s">
        <v>24</v>
      </c>
      <c r="C177">
        <v>3</v>
      </c>
      <c r="D177">
        <v>8</v>
      </c>
      <c r="E177">
        <v>32</v>
      </c>
      <c r="F177">
        <v>32</v>
      </c>
      <c r="G177">
        <v>32</v>
      </c>
      <c r="H177">
        <v>28</v>
      </c>
      <c r="I177">
        <v>18</v>
      </c>
      <c r="J177">
        <v>25</v>
      </c>
      <c r="K177">
        <v>0</v>
      </c>
      <c r="L177">
        <v>32</v>
      </c>
      <c r="M177">
        <v>0.4385</v>
      </c>
      <c r="N177">
        <v>65536</v>
      </c>
      <c r="O177">
        <v>25200</v>
      </c>
      <c r="P177">
        <v>0.61550000000000005</v>
      </c>
      <c r="Q177">
        <v>69</v>
      </c>
      <c r="R177">
        <v>48.7</v>
      </c>
      <c r="S177" t="b">
        <v>1</v>
      </c>
      <c r="T177">
        <v>0.985714286</v>
      </c>
      <c r="U177">
        <v>175</v>
      </c>
      <c r="V177">
        <f>Table1[[#This Row],[orig_m]]+Table1[[#This Row],[orig_n]]+Table1[[#This Row],[orig_k]]-2</f>
        <v>94</v>
      </c>
      <c r="W177">
        <f>Table1[[#This Row],[Dense Baseline]]-Table1[[#This Row],[cycles]]</f>
        <v>25</v>
      </c>
      <c r="X177">
        <f>(Table1[[#This Row],[eff_macs]]/Table1[[#This Row],[cycles]])*0.07</f>
        <v>25.565217391304348</v>
      </c>
      <c r="Y177">
        <f>(Table1[[#This Row],[orig_macs]]/Table1[[#This Row],[cycles]])*0.07</f>
        <v>66.485797101449279</v>
      </c>
      <c r="Z177">
        <f>(Table1[[#This Row],[Dense-Equivalent Throughput (GOPS)]] / IF(Table1[[#This Row],[config]]=0,144781,7618)) * 1000</f>
        <v>0.45921631361469584</v>
      </c>
      <c r="AA177">
        <f>(Table1[[#This Row],[Dense-Equivalent Throughput (GOPS)]] / 654.74 )/ IF(Table1[[#This Row],[config]]=0, 42381, 7618) * 10^9</f>
        <v>2396.0109911820191</v>
      </c>
      <c r="AB177">
        <f>IF(Table1[[#This Row],[config]]=0, 2860, 2210) * (Table1[[#This Row],[cycles]] / 70) / 1000</f>
        <v>2.8191428571428574</v>
      </c>
    </row>
    <row r="178" spans="1:28" x14ac:dyDescent="0.25">
      <c r="A178" t="s">
        <v>20</v>
      </c>
      <c r="B178" t="s">
        <v>24</v>
      </c>
      <c r="C178">
        <v>3</v>
      </c>
      <c r="D178">
        <v>9</v>
      </c>
      <c r="E178">
        <v>32</v>
      </c>
      <c r="F178">
        <v>32</v>
      </c>
      <c r="G178">
        <v>32</v>
      </c>
      <c r="H178">
        <v>28</v>
      </c>
      <c r="I178">
        <v>22</v>
      </c>
      <c r="J178">
        <v>25</v>
      </c>
      <c r="K178">
        <v>0</v>
      </c>
      <c r="L178">
        <v>32</v>
      </c>
      <c r="M178">
        <v>0.3896</v>
      </c>
      <c r="N178">
        <v>65536</v>
      </c>
      <c r="O178">
        <v>30800</v>
      </c>
      <c r="P178">
        <v>0.53</v>
      </c>
      <c r="Q178">
        <v>73</v>
      </c>
      <c r="R178">
        <v>45.2</v>
      </c>
      <c r="S178" t="b">
        <v>1</v>
      </c>
      <c r="T178">
        <v>1.042857143</v>
      </c>
      <c r="U178">
        <v>176</v>
      </c>
      <c r="V178">
        <f>Table1[[#This Row],[orig_m]]+Table1[[#This Row],[orig_n]]+Table1[[#This Row],[orig_k]]-2</f>
        <v>94</v>
      </c>
      <c r="W178">
        <f>Table1[[#This Row],[Dense Baseline]]-Table1[[#This Row],[cycles]]</f>
        <v>21</v>
      </c>
      <c r="X178">
        <f>(Table1[[#This Row],[eff_macs]]/Table1[[#This Row],[cycles]])*0.07</f>
        <v>29.534246575342468</v>
      </c>
      <c r="Y178">
        <f>(Table1[[#This Row],[orig_macs]]/Table1[[#This Row],[cycles]])*0.07</f>
        <v>62.842739726027396</v>
      </c>
      <c r="Z178">
        <f>(Table1[[#This Row],[Dense-Equivalent Throughput (GOPS)]] / IF(Table1[[#This Row],[config]]=0,144781,7618)) * 1000</f>
        <v>0.43405377588238375</v>
      </c>
      <c r="AA178">
        <f>(Table1[[#This Row],[Dense-Equivalent Throughput (GOPS)]] / 654.74 )/ IF(Table1[[#This Row],[config]]=0, 42381, 7618) * 10^9</f>
        <v>2264.7227176925931</v>
      </c>
      <c r="AB178">
        <f>IF(Table1[[#This Row],[config]]=0, 2860, 2210) * (Table1[[#This Row],[cycles]] / 70) / 1000</f>
        <v>2.9825714285714291</v>
      </c>
    </row>
    <row r="179" spans="1:28" x14ac:dyDescent="0.25">
      <c r="A179" t="s">
        <v>20</v>
      </c>
      <c r="B179" t="s">
        <v>24</v>
      </c>
      <c r="C179">
        <v>3</v>
      </c>
      <c r="D179">
        <v>10</v>
      </c>
      <c r="E179">
        <v>32</v>
      </c>
      <c r="F179">
        <v>32</v>
      </c>
      <c r="G179">
        <v>32</v>
      </c>
      <c r="H179">
        <v>28</v>
      </c>
      <c r="I179">
        <v>13</v>
      </c>
      <c r="J179">
        <v>25</v>
      </c>
      <c r="K179">
        <v>0</v>
      </c>
      <c r="L179">
        <v>32</v>
      </c>
      <c r="M179">
        <v>0.4995</v>
      </c>
      <c r="N179">
        <v>65536</v>
      </c>
      <c r="O179">
        <v>18200</v>
      </c>
      <c r="P179">
        <v>0.72230000000000005</v>
      </c>
      <c r="Q179">
        <v>64</v>
      </c>
      <c r="R179">
        <v>105.6</v>
      </c>
      <c r="S179" t="b">
        <v>1</v>
      </c>
      <c r="T179">
        <v>0.91428571400000003</v>
      </c>
      <c r="U179">
        <v>177</v>
      </c>
      <c r="V179">
        <f>Table1[[#This Row],[orig_m]]+Table1[[#This Row],[orig_n]]+Table1[[#This Row],[orig_k]]-2</f>
        <v>94</v>
      </c>
      <c r="W179">
        <f>Table1[[#This Row],[Dense Baseline]]-Table1[[#This Row],[cycles]]</f>
        <v>30</v>
      </c>
      <c r="X179">
        <f>(Table1[[#This Row],[eff_macs]]/Table1[[#This Row],[cycles]])*0.07</f>
        <v>19.906250000000004</v>
      </c>
      <c r="Y179">
        <f>(Table1[[#This Row],[orig_macs]]/Table1[[#This Row],[cycles]])*0.07</f>
        <v>71.680000000000007</v>
      </c>
      <c r="Z179">
        <f>(Table1[[#This Row],[Dense-Equivalent Throughput (GOPS)]] / IF(Table1[[#This Row],[config]]=0,144781,7618)) * 1000</f>
        <v>0.49509258811584395</v>
      </c>
      <c r="AA179">
        <f>(Table1[[#This Row],[Dense-Equivalent Throughput (GOPS)]] / 654.74 )/ IF(Table1[[#This Row],[config]]=0, 42381, 7618) * 10^9</f>
        <v>2583.1993498681145</v>
      </c>
      <c r="AB179">
        <f>IF(Table1[[#This Row],[config]]=0, 2860, 2210) * (Table1[[#This Row],[cycles]] / 70) / 1000</f>
        <v>2.6148571428571428</v>
      </c>
    </row>
    <row r="180" spans="1:28" x14ac:dyDescent="0.25">
      <c r="A180" t="s">
        <v>20</v>
      </c>
      <c r="B180" t="s">
        <v>24</v>
      </c>
      <c r="C180">
        <v>3</v>
      </c>
      <c r="D180">
        <v>11</v>
      </c>
      <c r="E180">
        <v>32</v>
      </c>
      <c r="F180">
        <v>32</v>
      </c>
      <c r="G180">
        <v>32</v>
      </c>
      <c r="H180">
        <v>28</v>
      </c>
      <c r="I180">
        <v>18</v>
      </c>
      <c r="J180">
        <v>25</v>
      </c>
      <c r="K180">
        <v>0</v>
      </c>
      <c r="L180">
        <v>32</v>
      </c>
      <c r="M180">
        <v>0.4385</v>
      </c>
      <c r="N180">
        <v>65536</v>
      </c>
      <c r="O180">
        <v>25200</v>
      </c>
      <c r="P180">
        <v>0.61550000000000005</v>
      </c>
      <c r="Q180">
        <v>69</v>
      </c>
      <c r="R180">
        <v>67.099999999999994</v>
      </c>
      <c r="S180" t="b">
        <v>1</v>
      </c>
      <c r="T180">
        <v>0.985714286</v>
      </c>
      <c r="U180">
        <v>178</v>
      </c>
      <c r="V180">
        <f>Table1[[#This Row],[orig_m]]+Table1[[#This Row],[orig_n]]+Table1[[#This Row],[orig_k]]-2</f>
        <v>94</v>
      </c>
      <c r="W180">
        <f>Table1[[#This Row],[Dense Baseline]]-Table1[[#This Row],[cycles]]</f>
        <v>25</v>
      </c>
      <c r="X180">
        <f>(Table1[[#This Row],[eff_macs]]/Table1[[#This Row],[cycles]])*0.07</f>
        <v>25.565217391304348</v>
      </c>
      <c r="Y180">
        <f>(Table1[[#This Row],[orig_macs]]/Table1[[#This Row],[cycles]])*0.07</f>
        <v>66.485797101449279</v>
      </c>
      <c r="Z180">
        <f>(Table1[[#This Row],[Dense-Equivalent Throughput (GOPS)]] / IF(Table1[[#This Row],[config]]=0,144781,7618)) * 1000</f>
        <v>0.45921631361469584</v>
      </c>
      <c r="AA180">
        <f>(Table1[[#This Row],[Dense-Equivalent Throughput (GOPS)]] / 654.74 )/ IF(Table1[[#This Row],[config]]=0, 42381, 7618) * 10^9</f>
        <v>2396.0109911820191</v>
      </c>
      <c r="AB180">
        <f>IF(Table1[[#This Row],[config]]=0, 2860, 2210) * (Table1[[#This Row],[cycles]] / 70) / 1000</f>
        <v>2.8191428571428574</v>
      </c>
    </row>
    <row r="181" spans="1:28" x14ac:dyDescent="0.25">
      <c r="A181" t="s">
        <v>20</v>
      </c>
      <c r="B181" t="s">
        <v>24</v>
      </c>
      <c r="C181">
        <v>3</v>
      </c>
      <c r="D181">
        <v>12</v>
      </c>
      <c r="E181">
        <v>32</v>
      </c>
      <c r="F181">
        <v>32</v>
      </c>
      <c r="G181">
        <v>32</v>
      </c>
      <c r="H181">
        <v>28</v>
      </c>
      <c r="I181">
        <v>17</v>
      </c>
      <c r="J181">
        <v>25</v>
      </c>
      <c r="K181">
        <v>0</v>
      </c>
      <c r="L181">
        <v>32</v>
      </c>
      <c r="M181">
        <v>0.45069999999999999</v>
      </c>
      <c r="N181">
        <v>65536</v>
      </c>
      <c r="O181">
        <v>23800</v>
      </c>
      <c r="P181">
        <v>0.63680000000000003</v>
      </c>
      <c r="Q181">
        <v>68</v>
      </c>
      <c r="R181">
        <v>52.7</v>
      </c>
      <c r="S181" t="b">
        <v>1</v>
      </c>
      <c r="T181">
        <v>0.97142857100000002</v>
      </c>
      <c r="U181">
        <v>179</v>
      </c>
      <c r="V181">
        <f>Table1[[#This Row],[orig_m]]+Table1[[#This Row],[orig_n]]+Table1[[#This Row],[orig_k]]-2</f>
        <v>94</v>
      </c>
      <c r="W181">
        <f>Table1[[#This Row],[Dense Baseline]]-Table1[[#This Row],[cycles]]</f>
        <v>26</v>
      </c>
      <c r="X181">
        <f>(Table1[[#This Row],[eff_macs]]/Table1[[#This Row],[cycles]])*0.07</f>
        <v>24.500000000000004</v>
      </c>
      <c r="Y181">
        <f>(Table1[[#This Row],[orig_macs]]/Table1[[#This Row],[cycles]])*0.07</f>
        <v>67.463529411764711</v>
      </c>
      <c r="Z181">
        <f>(Table1[[#This Row],[Dense-Equivalent Throughput (GOPS)]] / IF(Table1[[#This Row],[config]]=0,144781,7618)) * 1000</f>
        <v>0.4659694946972649</v>
      </c>
      <c r="AA181">
        <f>(Table1[[#This Row],[Dense-Equivalent Throughput (GOPS)]] / 654.74 )/ IF(Table1[[#This Row],[config]]=0, 42381, 7618) * 10^9</f>
        <v>2431.246446934696</v>
      </c>
      <c r="AB181">
        <f>IF(Table1[[#This Row],[config]]=0, 2860, 2210) * (Table1[[#This Row],[cycles]] / 70) / 1000</f>
        <v>2.778285714285714</v>
      </c>
    </row>
    <row r="182" spans="1:28" x14ac:dyDescent="0.25">
      <c r="A182" t="s">
        <v>20</v>
      </c>
      <c r="B182" t="s">
        <v>24</v>
      </c>
      <c r="C182">
        <v>3</v>
      </c>
      <c r="D182">
        <v>13</v>
      </c>
      <c r="E182">
        <v>32</v>
      </c>
      <c r="F182">
        <v>32</v>
      </c>
      <c r="G182">
        <v>32</v>
      </c>
      <c r="H182">
        <v>31</v>
      </c>
      <c r="I182">
        <v>18</v>
      </c>
      <c r="J182">
        <v>20</v>
      </c>
      <c r="K182">
        <v>0</v>
      </c>
      <c r="L182">
        <v>32</v>
      </c>
      <c r="M182">
        <v>0.52149999999999996</v>
      </c>
      <c r="N182">
        <v>65536</v>
      </c>
      <c r="O182">
        <v>22320</v>
      </c>
      <c r="P182">
        <v>0.65939999999999999</v>
      </c>
      <c r="Q182">
        <v>67</v>
      </c>
      <c r="R182">
        <v>53.3</v>
      </c>
      <c r="S182" t="b">
        <v>1</v>
      </c>
      <c r="T182">
        <v>0.95714285700000001</v>
      </c>
      <c r="U182">
        <v>180</v>
      </c>
      <c r="V182">
        <f>Table1[[#This Row],[orig_m]]+Table1[[#This Row],[orig_n]]+Table1[[#This Row],[orig_k]]-2</f>
        <v>94</v>
      </c>
      <c r="W182">
        <f>Table1[[#This Row],[Dense Baseline]]-Table1[[#This Row],[cycles]]</f>
        <v>27</v>
      </c>
      <c r="X182">
        <f>(Table1[[#This Row],[eff_macs]]/Table1[[#This Row],[cycles]])*0.07</f>
        <v>23.319402985074628</v>
      </c>
      <c r="Y182">
        <f>(Table1[[#This Row],[orig_macs]]/Table1[[#This Row],[cycles]])*0.07</f>
        <v>68.470447761194038</v>
      </c>
      <c r="Z182">
        <f>(Table1[[#This Row],[Dense-Equivalent Throughput (GOPS)]] / IF(Table1[[#This Row],[config]]=0,144781,7618)) * 1000</f>
        <v>0.47292426327483605</v>
      </c>
      <c r="AA182">
        <f>(Table1[[#This Row],[Dense-Equivalent Throughput (GOPS)]] / 654.74 )/ IF(Table1[[#This Row],[config]]=0, 42381, 7618) * 10^9</f>
        <v>2467.5337073367064</v>
      </c>
      <c r="AB182">
        <f>IF(Table1[[#This Row],[config]]=0, 2860, 2210) * (Table1[[#This Row],[cycles]] / 70) / 1000</f>
        <v>2.7374285714285715</v>
      </c>
    </row>
    <row r="183" spans="1:28" x14ac:dyDescent="0.25">
      <c r="A183" t="s">
        <v>20</v>
      </c>
      <c r="B183" t="s">
        <v>24</v>
      </c>
      <c r="C183">
        <v>3</v>
      </c>
      <c r="D183">
        <v>14</v>
      </c>
      <c r="E183">
        <v>32</v>
      </c>
      <c r="F183">
        <v>32</v>
      </c>
      <c r="G183">
        <v>32</v>
      </c>
      <c r="H183">
        <v>31</v>
      </c>
      <c r="I183">
        <v>18</v>
      </c>
      <c r="J183">
        <v>20</v>
      </c>
      <c r="K183">
        <v>0</v>
      </c>
      <c r="L183">
        <v>32</v>
      </c>
      <c r="M183">
        <v>0.52149999999999996</v>
      </c>
      <c r="N183">
        <v>65536</v>
      </c>
      <c r="O183">
        <v>22320</v>
      </c>
      <c r="P183">
        <v>0.65939999999999999</v>
      </c>
      <c r="Q183">
        <v>67</v>
      </c>
      <c r="R183">
        <v>48.6</v>
      </c>
      <c r="S183" t="b">
        <v>1</v>
      </c>
      <c r="T183">
        <v>0.95714285700000001</v>
      </c>
      <c r="U183">
        <v>181</v>
      </c>
      <c r="V183">
        <f>Table1[[#This Row],[orig_m]]+Table1[[#This Row],[orig_n]]+Table1[[#This Row],[orig_k]]-2</f>
        <v>94</v>
      </c>
      <c r="W183">
        <f>Table1[[#This Row],[Dense Baseline]]-Table1[[#This Row],[cycles]]</f>
        <v>27</v>
      </c>
      <c r="X183">
        <f>(Table1[[#This Row],[eff_macs]]/Table1[[#This Row],[cycles]])*0.07</f>
        <v>23.319402985074628</v>
      </c>
      <c r="Y183">
        <f>(Table1[[#This Row],[orig_macs]]/Table1[[#This Row],[cycles]])*0.07</f>
        <v>68.470447761194038</v>
      </c>
      <c r="Z183">
        <f>(Table1[[#This Row],[Dense-Equivalent Throughput (GOPS)]] / IF(Table1[[#This Row],[config]]=0,144781,7618)) * 1000</f>
        <v>0.47292426327483605</v>
      </c>
      <c r="AA183">
        <f>(Table1[[#This Row],[Dense-Equivalent Throughput (GOPS)]] / 654.74 )/ IF(Table1[[#This Row],[config]]=0, 42381, 7618) * 10^9</f>
        <v>2467.5337073367064</v>
      </c>
      <c r="AB183">
        <f>IF(Table1[[#This Row],[config]]=0, 2860, 2210) * (Table1[[#This Row],[cycles]] / 70) / 1000</f>
        <v>2.7374285714285715</v>
      </c>
    </row>
    <row r="184" spans="1:28" x14ac:dyDescent="0.25">
      <c r="A184" t="s">
        <v>20</v>
      </c>
      <c r="B184" t="s">
        <v>24</v>
      </c>
      <c r="C184">
        <v>3</v>
      </c>
      <c r="D184">
        <v>15</v>
      </c>
      <c r="E184">
        <v>32</v>
      </c>
      <c r="F184">
        <v>32</v>
      </c>
      <c r="G184">
        <v>32</v>
      </c>
      <c r="H184">
        <v>31</v>
      </c>
      <c r="I184">
        <v>22</v>
      </c>
      <c r="J184">
        <v>20</v>
      </c>
      <c r="K184">
        <v>0</v>
      </c>
      <c r="L184">
        <v>32</v>
      </c>
      <c r="M184">
        <v>0.4824</v>
      </c>
      <c r="N184">
        <v>65536</v>
      </c>
      <c r="O184">
        <v>27280</v>
      </c>
      <c r="P184">
        <v>0.5837</v>
      </c>
      <c r="Q184">
        <v>71</v>
      </c>
      <c r="R184">
        <v>42.8</v>
      </c>
      <c r="S184" t="b">
        <v>1</v>
      </c>
      <c r="T184">
        <v>1.0142857139999999</v>
      </c>
      <c r="U184">
        <v>182</v>
      </c>
      <c r="V184">
        <f>Table1[[#This Row],[orig_m]]+Table1[[#This Row],[orig_n]]+Table1[[#This Row],[orig_k]]-2</f>
        <v>94</v>
      </c>
      <c r="W184">
        <f>Table1[[#This Row],[Dense Baseline]]-Table1[[#This Row],[cycles]]</f>
        <v>23</v>
      </c>
      <c r="X184">
        <f>(Table1[[#This Row],[eff_macs]]/Table1[[#This Row],[cycles]])*0.07</f>
        <v>26.895774647887325</v>
      </c>
      <c r="Y184">
        <f>(Table1[[#This Row],[orig_macs]]/Table1[[#This Row],[cycles]])*0.07</f>
        <v>64.612957746478884</v>
      </c>
      <c r="Z184">
        <f>(Table1[[#This Row],[Dense-Equivalent Throughput (GOPS)]] / IF(Table1[[#This Row],[config]]=0,144781,7618)) * 1000</f>
        <v>0.4462806428086481</v>
      </c>
      <c r="AA184">
        <f>(Table1[[#This Row],[Dense-Equivalent Throughput (GOPS)]] / 654.74 )/ IF(Table1[[#This Row],[config]]=0, 42381, 7618) * 10^9</f>
        <v>2328.5177238247798</v>
      </c>
      <c r="AB184">
        <f>IF(Table1[[#This Row],[config]]=0, 2860, 2210) * (Table1[[#This Row],[cycles]] / 70) / 1000</f>
        <v>2.9008571428571428</v>
      </c>
    </row>
    <row r="185" spans="1:28" x14ac:dyDescent="0.25">
      <c r="A185" t="s">
        <v>20</v>
      </c>
      <c r="B185" t="s">
        <v>24</v>
      </c>
      <c r="C185">
        <v>3</v>
      </c>
      <c r="D185">
        <v>16</v>
      </c>
      <c r="E185">
        <v>32</v>
      </c>
      <c r="F185">
        <v>32</v>
      </c>
      <c r="G185">
        <v>32</v>
      </c>
      <c r="H185">
        <v>31</v>
      </c>
      <c r="I185">
        <v>13</v>
      </c>
      <c r="J185">
        <v>20</v>
      </c>
      <c r="K185">
        <v>0</v>
      </c>
      <c r="L185">
        <v>32</v>
      </c>
      <c r="M185">
        <v>0.57030000000000003</v>
      </c>
      <c r="N185">
        <v>65536</v>
      </c>
      <c r="O185">
        <v>16120</v>
      </c>
      <c r="P185">
        <v>0.754</v>
      </c>
      <c r="Q185">
        <v>62</v>
      </c>
      <c r="R185">
        <v>47.9</v>
      </c>
      <c r="S185" t="b">
        <v>1</v>
      </c>
      <c r="T185">
        <v>0.88571428600000002</v>
      </c>
      <c r="U185">
        <v>183</v>
      </c>
      <c r="V185">
        <f>Table1[[#This Row],[orig_m]]+Table1[[#This Row],[orig_n]]+Table1[[#This Row],[orig_k]]-2</f>
        <v>94</v>
      </c>
      <c r="W185">
        <f>Table1[[#This Row],[Dense Baseline]]-Table1[[#This Row],[cycles]]</f>
        <v>32</v>
      </c>
      <c r="X185">
        <f>(Table1[[#This Row],[eff_macs]]/Table1[[#This Row],[cycles]])*0.07</f>
        <v>18.200000000000003</v>
      </c>
      <c r="Y185">
        <f>(Table1[[#This Row],[orig_macs]]/Table1[[#This Row],[cycles]])*0.07</f>
        <v>73.992258064516136</v>
      </c>
      <c r="Z185">
        <f>(Table1[[#This Row],[Dense-Equivalent Throughput (GOPS)]] / IF(Table1[[#This Row],[config]]=0,144781,7618)) * 1000</f>
        <v>0.51106331676474215</v>
      </c>
      <c r="AA185">
        <f>(Table1[[#This Row],[Dense-Equivalent Throughput (GOPS)]] / 654.74 )/ IF(Table1[[#This Row],[config]]=0, 42381, 7618) * 10^9</f>
        <v>2666.5283611541827</v>
      </c>
      <c r="AB185">
        <f>IF(Table1[[#This Row],[config]]=0, 2860, 2210) * (Table1[[#This Row],[cycles]] / 70) / 1000</f>
        <v>2.5331428571428569</v>
      </c>
    </row>
    <row r="186" spans="1:28" x14ac:dyDescent="0.25">
      <c r="A186" t="s">
        <v>20</v>
      </c>
      <c r="B186" t="s">
        <v>24</v>
      </c>
      <c r="C186">
        <v>3</v>
      </c>
      <c r="D186">
        <v>17</v>
      </c>
      <c r="E186">
        <v>32</v>
      </c>
      <c r="F186">
        <v>32</v>
      </c>
      <c r="G186">
        <v>32</v>
      </c>
      <c r="H186">
        <v>31</v>
      </c>
      <c r="I186">
        <v>18</v>
      </c>
      <c r="J186">
        <v>20</v>
      </c>
      <c r="K186">
        <v>0</v>
      </c>
      <c r="L186">
        <v>32</v>
      </c>
      <c r="M186">
        <v>0.52149999999999996</v>
      </c>
      <c r="N186">
        <v>65536</v>
      </c>
      <c r="O186">
        <v>22320</v>
      </c>
      <c r="P186">
        <v>0.65939999999999999</v>
      </c>
      <c r="Q186">
        <v>67</v>
      </c>
      <c r="R186">
        <v>339.7</v>
      </c>
      <c r="S186" t="b">
        <v>1</v>
      </c>
      <c r="T186">
        <v>0.95714285700000001</v>
      </c>
      <c r="U186">
        <v>184</v>
      </c>
      <c r="V186">
        <f>Table1[[#This Row],[orig_m]]+Table1[[#This Row],[orig_n]]+Table1[[#This Row],[orig_k]]-2</f>
        <v>94</v>
      </c>
      <c r="W186">
        <f>Table1[[#This Row],[Dense Baseline]]-Table1[[#This Row],[cycles]]</f>
        <v>27</v>
      </c>
      <c r="X186">
        <f>(Table1[[#This Row],[eff_macs]]/Table1[[#This Row],[cycles]])*0.07</f>
        <v>23.319402985074628</v>
      </c>
      <c r="Y186">
        <f>(Table1[[#This Row],[orig_macs]]/Table1[[#This Row],[cycles]])*0.07</f>
        <v>68.470447761194038</v>
      </c>
      <c r="Z186">
        <f>(Table1[[#This Row],[Dense-Equivalent Throughput (GOPS)]] / IF(Table1[[#This Row],[config]]=0,144781,7618)) * 1000</f>
        <v>0.47292426327483605</v>
      </c>
      <c r="AA186">
        <f>(Table1[[#This Row],[Dense-Equivalent Throughput (GOPS)]] / 654.74 )/ IF(Table1[[#This Row],[config]]=0, 42381, 7618) * 10^9</f>
        <v>2467.5337073367064</v>
      </c>
      <c r="AB186">
        <f>IF(Table1[[#This Row],[config]]=0, 2860, 2210) * (Table1[[#This Row],[cycles]] / 70) / 1000</f>
        <v>2.7374285714285715</v>
      </c>
    </row>
    <row r="187" spans="1:28" x14ac:dyDescent="0.25">
      <c r="A187" t="s">
        <v>20</v>
      </c>
      <c r="B187" t="s">
        <v>24</v>
      </c>
      <c r="C187">
        <v>3</v>
      </c>
      <c r="D187">
        <v>18</v>
      </c>
      <c r="E187">
        <v>32</v>
      </c>
      <c r="F187">
        <v>32</v>
      </c>
      <c r="G187">
        <v>32</v>
      </c>
      <c r="H187">
        <v>31</v>
      </c>
      <c r="I187">
        <v>17</v>
      </c>
      <c r="J187">
        <v>20</v>
      </c>
      <c r="K187">
        <v>0</v>
      </c>
      <c r="L187">
        <v>32</v>
      </c>
      <c r="M187">
        <v>0.53120000000000001</v>
      </c>
      <c r="N187">
        <v>65536</v>
      </c>
      <c r="O187">
        <v>21080</v>
      </c>
      <c r="P187">
        <v>0.67830000000000001</v>
      </c>
      <c r="Q187">
        <v>66</v>
      </c>
      <c r="R187">
        <v>125.5</v>
      </c>
      <c r="S187" t="b">
        <v>1</v>
      </c>
      <c r="T187">
        <v>0.94285714300000001</v>
      </c>
      <c r="U187">
        <v>185</v>
      </c>
      <c r="V187">
        <f>Table1[[#This Row],[orig_m]]+Table1[[#This Row],[orig_n]]+Table1[[#This Row],[orig_k]]-2</f>
        <v>94</v>
      </c>
      <c r="W187">
        <f>Table1[[#This Row],[Dense Baseline]]-Table1[[#This Row],[cycles]]</f>
        <v>28</v>
      </c>
      <c r="X187">
        <f>(Table1[[#This Row],[eff_macs]]/Table1[[#This Row],[cycles]])*0.07</f>
        <v>22.357575757575759</v>
      </c>
      <c r="Y187">
        <f>(Table1[[#This Row],[orig_macs]]/Table1[[#This Row],[cycles]])*0.07</f>
        <v>69.507878787878795</v>
      </c>
      <c r="Z187">
        <f>(Table1[[#This Row],[Dense-Equivalent Throughput (GOPS)]] / IF(Table1[[#This Row],[config]]=0,144781,7618)) * 1000</f>
        <v>0.48008978241536382</v>
      </c>
      <c r="AA187">
        <f>(Table1[[#This Row],[Dense-Equivalent Throughput (GOPS)]] / 654.74 )/ IF(Table1[[#This Row],[config]]=0, 42381, 7618) * 10^9</f>
        <v>2504.9205816902927</v>
      </c>
      <c r="AB187">
        <f>IF(Table1[[#This Row],[config]]=0, 2860, 2210) * (Table1[[#This Row],[cycles]] / 70) / 1000</f>
        <v>2.6965714285714286</v>
      </c>
    </row>
    <row r="188" spans="1:28" x14ac:dyDescent="0.25">
      <c r="A188" t="s">
        <v>20</v>
      </c>
      <c r="B188" t="s">
        <v>24</v>
      </c>
      <c r="C188">
        <v>3</v>
      </c>
      <c r="D188">
        <v>19</v>
      </c>
      <c r="E188">
        <v>32</v>
      </c>
      <c r="F188">
        <v>32</v>
      </c>
      <c r="G188">
        <v>32</v>
      </c>
      <c r="H188">
        <v>29</v>
      </c>
      <c r="I188">
        <v>18</v>
      </c>
      <c r="J188">
        <v>15</v>
      </c>
      <c r="K188">
        <v>0</v>
      </c>
      <c r="L188">
        <v>32</v>
      </c>
      <c r="M188">
        <v>0.65580000000000005</v>
      </c>
      <c r="N188">
        <v>65536</v>
      </c>
      <c r="O188">
        <v>15660</v>
      </c>
      <c r="P188">
        <v>0.76100000000000001</v>
      </c>
      <c r="Q188">
        <v>60</v>
      </c>
      <c r="R188">
        <v>174.7</v>
      </c>
      <c r="S188" t="b">
        <v>1</v>
      </c>
      <c r="T188">
        <v>0.85714285700000004</v>
      </c>
      <c r="U188">
        <v>186</v>
      </c>
      <c r="V188">
        <f>Table1[[#This Row],[orig_m]]+Table1[[#This Row],[orig_n]]+Table1[[#This Row],[orig_k]]-2</f>
        <v>94</v>
      </c>
      <c r="W188">
        <f>Table1[[#This Row],[Dense Baseline]]-Table1[[#This Row],[cycles]]</f>
        <v>34</v>
      </c>
      <c r="X188">
        <f>(Table1[[#This Row],[eff_macs]]/Table1[[#This Row],[cycles]])*0.07</f>
        <v>18.270000000000003</v>
      </c>
      <c r="Y188">
        <f>(Table1[[#This Row],[orig_macs]]/Table1[[#This Row],[cycles]])*0.07</f>
        <v>76.458666666666673</v>
      </c>
      <c r="Z188">
        <f>(Table1[[#This Row],[Dense-Equivalent Throughput (GOPS)]] / IF(Table1[[#This Row],[config]]=0,144781,7618)) * 1000</f>
        <v>0.52809876065690031</v>
      </c>
      <c r="AA188">
        <f>(Table1[[#This Row],[Dense-Equivalent Throughput (GOPS)]] / 654.74 )/ IF(Table1[[#This Row],[config]]=0, 42381, 7618) * 10^9</f>
        <v>2755.4126398593216</v>
      </c>
      <c r="AB188">
        <f>IF(Table1[[#This Row],[config]]=0, 2860, 2210) * (Table1[[#This Row],[cycles]] / 70) / 1000</f>
        <v>2.4514285714285711</v>
      </c>
    </row>
    <row r="189" spans="1:28" x14ac:dyDescent="0.25">
      <c r="A189" t="s">
        <v>20</v>
      </c>
      <c r="B189" t="s">
        <v>24</v>
      </c>
      <c r="C189">
        <v>3</v>
      </c>
      <c r="D189">
        <v>20</v>
      </c>
      <c r="E189">
        <v>32</v>
      </c>
      <c r="F189">
        <v>32</v>
      </c>
      <c r="G189">
        <v>32</v>
      </c>
      <c r="H189">
        <v>29</v>
      </c>
      <c r="I189">
        <v>18</v>
      </c>
      <c r="J189">
        <v>15</v>
      </c>
      <c r="K189">
        <v>0</v>
      </c>
      <c r="L189">
        <v>32</v>
      </c>
      <c r="M189">
        <v>0.65580000000000005</v>
      </c>
      <c r="N189">
        <v>65536</v>
      </c>
      <c r="O189">
        <v>15660</v>
      </c>
      <c r="P189">
        <v>0.76100000000000001</v>
      </c>
      <c r="Q189">
        <v>60</v>
      </c>
      <c r="R189">
        <v>49.5</v>
      </c>
      <c r="S189" t="b">
        <v>1</v>
      </c>
      <c r="T189">
        <v>0.85714285700000004</v>
      </c>
      <c r="U189">
        <v>187</v>
      </c>
      <c r="V189">
        <f>Table1[[#This Row],[orig_m]]+Table1[[#This Row],[orig_n]]+Table1[[#This Row],[orig_k]]-2</f>
        <v>94</v>
      </c>
      <c r="W189">
        <f>Table1[[#This Row],[Dense Baseline]]-Table1[[#This Row],[cycles]]</f>
        <v>34</v>
      </c>
      <c r="X189">
        <f>(Table1[[#This Row],[eff_macs]]/Table1[[#This Row],[cycles]])*0.07</f>
        <v>18.270000000000003</v>
      </c>
      <c r="Y189">
        <f>(Table1[[#This Row],[orig_macs]]/Table1[[#This Row],[cycles]])*0.07</f>
        <v>76.458666666666673</v>
      </c>
      <c r="Z189">
        <f>(Table1[[#This Row],[Dense-Equivalent Throughput (GOPS)]] / IF(Table1[[#This Row],[config]]=0,144781,7618)) * 1000</f>
        <v>0.52809876065690031</v>
      </c>
      <c r="AA189">
        <f>(Table1[[#This Row],[Dense-Equivalent Throughput (GOPS)]] / 654.74 )/ IF(Table1[[#This Row],[config]]=0, 42381, 7618) * 10^9</f>
        <v>2755.4126398593216</v>
      </c>
      <c r="AB189">
        <f>IF(Table1[[#This Row],[config]]=0, 2860, 2210) * (Table1[[#This Row],[cycles]] / 70) / 1000</f>
        <v>2.4514285714285711</v>
      </c>
    </row>
    <row r="190" spans="1:28" x14ac:dyDescent="0.25">
      <c r="A190" t="s">
        <v>20</v>
      </c>
      <c r="B190" t="s">
        <v>24</v>
      </c>
      <c r="C190">
        <v>3</v>
      </c>
      <c r="D190">
        <v>21</v>
      </c>
      <c r="E190">
        <v>32</v>
      </c>
      <c r="F190">
        <v>32</v>
      </c>
      <c r="G190">
        <v>32</v>
      </c>
      <c r="H190">
        <v>29</v>
      </c>
      <c r="I190">
        <v>22</v>
      </c>
      <c r="J190">
        <v>15</v>
      </c>
      <c r="K190">
        <v>0</v>
      </c>
      <c r="L190">
        <v>32</v>
      </c>
      <c r="M190">
        <v>0.62649999999999995</v>
      </c>
      <c r="N190">
        <v>65536</v>
      </c>
      <c r="O190">
        <v>19140</v>
      </c>
      <c r="P190">
        <v>0.70789999999999997</v>
      </c>
      <c r="Q190">
        <v>64</v>
      </c>
      <c r="R190">
        <v>49</v>
      </c>
      <c r="S190" t="b">
        <v>1</v>
      </c>
      <c r="T190">
        <v>0.91428571400000003</v>
      </c>
      <c r="U190">
        <v>188</v>
      </c>
      <c r="V190">
        <f>Table1[[#This Row],[orig_m]]+Table1[[#This Row],[orig_n]]+Table1[[#This Row],[orig_k]]-2</f>
        <v>94</v>
      </c>
      <c r="W190">
        <f>Table1[[#This Row],[Dense Baseline]]-Table1[[#This Row],[cycles]]</f>
        <v>30</v>
      </c>
      <c r="X190">
        <f>(Table1[[#This Row],[eff_macs]]/Table1[[#This Row],[cycles]])*0.07</f>
        <v>20.934375000000003</v>
      </c>
      <c r="Y190">
        <f>(Table1[[#This Row],[orig_macs]]/Table1[[#This Row],[cycles]])*0.07</f>
        <v>71.680000000000007</v>
      </c>
      <c r="Z190">
        <f>(Table1[[#This Row],[Dense-Equivalent Throughput (GOPS)]] / IF(Table1[[#This Row],[config]]=0,144781,7618)) * 1000</f>
        <v>0.49509258811584395</v>
      </c>
      <c r="AA190">
        <f>(Table1[[#This Row],[Dense-Equivalent Throughput (GOPS)]] / 654.74 )/ IF(Table1[[#This Row],[config]]=0, 42381, 7618) * 10^9</f>
        <v>2583.1993498681145</v>
      </c>
      <c r="AB190">
        <f>IF(Table1[[#This Row],[config]]=0, 2860, 2210) * (Table1[[#This Row],[cycles]] / 70) / 1000</f>
        <v>2.6148571428571428</v>
      </c>
    </row>
    <row r="191" spans="1:28" x14ac:dyDescent="0.25">
      <c r="A191" t="s">
        <v>20</v>
      </c>
      <c r="B191" t="s">
        <v>24</v>
      </c>
      <c r="C191">
        <v>3</v>
      </c>
      <c r="D191">
        <v>22</v>
      </c>
      <c r="E191">
        <v>32</v>
      </c>
      <c r="F191">
        <v>32</v>
      </c>
      <c r="G191">
        <v>32</v>
      </c>
      <c r="H191">
        <v>29</v>
      </c>
      <c r="I191">
        <v>13</v>
      </c>
      <c r="J191">
        <v>15</v>
      </c>
      <c r="K191">
        <v>0</v>
      </c>
      <c r="L191">
        <v>32</v>
      </c>
      <c r="M191">
        <v>0.69240000000000002</v>
      </c>
      <c r="N191">
        <v>65536</v>
      </c>
      <c r="O191">
        <v>11310</v>
      </c>
      <c r="P191">
        <v>0.82740000000000002</v>
      </c>
      <c r="Q191">
        <v>55</v>
      </c>
      <c r="R191">
        <v>99.9</v>
      </c>
      <c r="S191" t="b">
        <v>1</v>
      </c>
      <c r="T191">
        <v>0.78571428600000004</v>
      </c>
      <c r="U191">
        <v>189</v>
      </c>
      <c r="V191">
        <f>Table1[[#This Row],[orig_m]]+Table1[[#This Row],[orig_n]]+Table1[[#This Row],[orig_k]]-2</f>
        <v>94</v>
      </c>
      <c r="W191">
        <f>Table1[[#This Row],[Dense Baseline]]-Table1[[#This Row],[cycles]]</f>
        <v>39</v>
      </c>
      <c r="X191">
        <f>(Table1[[#This Row],[eff_macs]]/Table1[[#This Row],[cycles]])*0.07</f>
        <v>14.394545454545455</v>
      </c>
      <c r="Y191">
        <f>(Table1[[#This Row],[orig_macs]]/Table1[[#This Row],[cycles]])*0.07</f>
        <v>83.409454545454551</v>
      </c>
      <c r="Z191">
        <f>(Table1[[#This Row],[Dense-Equivalent Throughput (GOPS)]] / IF(Table1[[#This Row],[config]]=0,144781,7618)) * 1000</f>
        <v>0.57610773889843669</v>
      </c>
      <c r="AA191">
        <f>(Table1[[#This Row],[Dense-Equivalent Throughput (GOPS)]] / 654.74 )/ IF(Table1[[#This Row],[config]]=0, 42381, 7618) * 10^9</f>
        <v>3005.904698028351</v>
      </c>
      <c r="AB191">
        <f>IF(Table1[[#This Row],[config]]=0, 2860, 2210) * (Table1[[#This Row],[cycles]] / 70) / 1000</f>
        <v>2.2471428571428569</v>
      </c>
    </row>
    <row r="192" spans="1:28" x14ac:dyDescent="0.25">
      <c r="A192" t="s">
        <v>20</v>
      </c>
      <c r="B192" t="s">
        <v>24</v>
      </c>
      <c r="C192">
        <v>3</v>
      </c>
      <c r="D192">
        <v>23</v>
      </c>
      <c r="E192">
        <v>32</v>
      </c>
      <c r="F192">
        <v>32</v>
      </c>
      <c r="G192">
        <v>32</v>
      </c>
      <c r="H192">
        <v>29</v>
      </c>
      <c r="I192">
        <v>18</v>
      </c>
      <c r="J192">
        <v>15</v>
      </c>
      <c r="K192">
        <v>0</v>
      </c>
      <c r="L192">
        <v>32</v>
      </c>
      <c r="M192">
        <v>0.65580000000000005</v>
      </c>
      <c r="N192">
        <v>65536</v>
      </c>
      <c r="O192">
        <v>15660</v>
      </c>
      <c r="P192">
        <v>0.76100000000000001</v>
      </c>
      <c r="Q192">
        <v>60</v>
      </c>
      <c r="R192">
        <v>176.7</v>
      </c>
      <c r="S192" t="b">
        <v>1</v>
      </c>
      <c r="T192">
        <v>0.85714285700000004</v>
      </c>
      <c r="U192">
        <v>190</v>
      </c>
      <c r="V192">
        <f>Table1[[#This Row],[orig_m]]+Table1[[#This Row],[orig_n]]+Table1[[#This Row],[orig_k]]-2</f>
        <v>94</v>
      </c>
      <c r="W192">
        <f>Table1[[#This Row],[Dense Baseline]]-Table1[[#This Row],[cycles]]</f>
        <v>34</v>
      </c>
      <c r="X192">
        <f>(Table1[[#This Row],[eff_macs]]/Table1[[#This Row],[cycles]])*0.07</f>
        <v>18.270000000000003</v>
      </c>
      <c r="Y192">
        <f>(Table1[[#This Row],[orig_macs]]/Table1[[#This Row],[cycles]])*0.07</f>
        <v>76.458666666666673</v>
      </c>
      <c r="Z192">
        <f>(Table1[[#This Row],[Dense-Equivalent Throughput (GOPS)]] / IF(Table1[[#This Row],[config]]=0,144781,7618)) * 1000</f>
        <v>0.52809876065690031</v>
      </c>
      <c r="AA192">
        <f>(Table1[[#This Row],[Dense-Equivalent Throughput (GOPS)]] / 654.74 )/ IF(Table1[[#This Row],[config]]=0, 42381, 7618) * 10^9</f>
        <v>2755.4126398593216</v>
      </c>
      <c r="AB192">
        <f>IF(Table1[[#This Row],[config]]=0, 2860, 2210) * (Table1[[#This Row],[cycles]] / 70) / 1000</f>
        <v>2.4514285714285711</v>
      </c>
    </row>
    <row r="193" spans="1:28" x14ac:dyDescent="0.25">
      <c r="A193" t="s">
        <v>20</v>
      </c>
      <c r="B193" t="s">
        <v>24</v>
      </c>
      <c r="C193">
        <v>3</v>
      </c>
      <c r="D193">
        <v>24</v>
      </c>
      <c r="E193">
        <v>32</v>
      </c>
      <c r="F193">
        <v>32</v>
      </c>
      <c r="G193">
        <v>32</v>
      </c>
      <c r="H193">
        <v>29</v>
      </c>
      <c r="I193">
        <v>17</v>
      </c>
      <c r="J193">
        <v>15</v>
      </c>
      <c r="K193">
        <v>0</v>
      </c>
      <c r="L193">
        <v>32</v>
      </c>
      <c r="M193">
        <v>0.66310000000000002</v>
      </c>
      <c r="N193">
        <v>65536</v>
      </c>
      <c r="O193">
        <v>14790</v>
      </c>
      <c r="P193">
        <v>0.77429999999999999</v>
      </c>
      <c r="Q193">
        <v>59</v>
      </c>
      <c r="R193">
        <v>48.2</v>
      </c>
      <c r="S193" t="b">
        <v>1</v>
      </c>
      <c r="T193">
        <v>0.84285714300000003</v>
      </c>
      <c r="U193">
        <v>191</v>
      </c>
      <c r="V193">
        <f>Table1[[#This Row],[orig_m]]+Table1[[#This Row],[orig_n]]+Table1[[#This Row],[orig_k]]-2</f>
        <v>94</v>
      </c>
      <c r="W193">
        <f>Table1[[#This Row],[Dense Baseline]]-Table1[[#This Row],[cycles]]</f>
        <v>35</v>
      </c>
      <c r="X193">
        <f>(Table1[[#This Row],[eff_macs]]/Table1[[#This Row],[cycles]])*0.07</f>
        <v>17.547457627118646</v>
      </c>
      <c r="Y193">
        <f>(Table1[[#This Row],[orig_macs]]/Table1[[#This Row],[cycles]])*0.07</f>
        <v>77.754576271186451</v>
      </c>
      <c r="Z193">
        <f>(Table1[[#This Row],[Dense-Equivalent Throughput (GOPS)]] / IF(Table1[[#This Row],[config]]=0,144781,7618)) * 1000</f>
        <v>0.5370495871087122</v>
      </c>
      <c r="AA193">
        <f>(Table1[[#This Row],[Dense-Equivalent Throughput (GOPS)]] / 654.74 )/ IF(Table1[[#This Row],[config]]=0, 42381, 7618) * 10^9</f>
        <v>2802.11454900948</v>
      </c>
      <c r="AB193">
        <f>IF(Table1[[#This Row],[config]]=0, 2860, 2210) * (Table1[[#This Row],[cycles]] / 70) / 1000</f>
        <v>2.4105714285714286</v>
      </c>
    </row>
    <row r="194" spans="1:28" x14ac:dyDescent="0.25">
      <c r="A194" t="s">
        <v>20</v>
      </c>
      <c r="B194" t="s">
        <v>24</v>
      </c>
      <c r="C194">
        <v>3</v>
      </c>
      <c r="D194">
        <v>25</v>
      </c>
      <c r="E194">
        <v>32</v>
      </c>
      <c r="F194">
        <v>32</v>
      </c>
      <c r="G194">
        <v>32</v>
      </c>
      <c r="H194">
        <v>29</v>
      </c>
      <c r="I194">
        <v>18</v>
      </c>
      <c r="J194">
        <v>14</v>
      </c>
      <c r="K194">
        <v>0</v>
      </c>
      <c r="L194">
        <v>32</v>
      </c>
      <c r="M194">
        <v>0.67869999999999997</v>
      </c>
      <c r="N194">
        <v>65536</v>
      </c>
      <c r="O194">
        <v>14616</v>
      </c>
      <c r="P194">
        <v>0.77700000000000002</v>
      </c>
      <c r="Q194">
        <v>59</v>
      </c>
      <c r="R194">
        <v>49</v>
      </c>
      <c r="S194" t="b">
        <v>1</v>
      </c>
      <c r="T194">
        <v>0.84285714300000003</v>
      </c>
      <c r="U194">
        <v>192</v>
      </c>
      <c r="V194">
        <f>Table1[[#This Row],[orig_m]]+Table1[[#This Row],[orig_n]]+Table1[[#This Row],[orig_k]]-2</f>
        <v>94</v>
      </c>
      <c r="W194">
        <f>Table1[[#This Row],[Dense Baseline]]-Table1[[#This Row],[cycles]]</f>
        <v>35</v>
      </c>
      <c r="X194">
        <f>(Table1[[#This Row],[eff_macs]]/Table1[[#This Row],[cycles]])*0.07</f>
        <v>17.341016949152543</v>
      </c>
      <c r="Y194">
        <f>(Table1[[#This Row],[orig_macs]]/Table1[[#This Row],[cycles]])*0.07</f>
        <v>77.754576271186451</v>
      </c>
      <c r="Z194">
        <f>(Table1[[#This Row],[Dense-Equivalent Throughput (GOPS)]] / IF(Table1[[#This Row],[config]]=0,144781,7618)) * 1000</f>
        <v>0.5370495871087122</v>
      </c>
      <c r="AA194">
        <f>(Table1[[#This Row],[Dense-Equivalent Throughput (GOPS)]] / 654.74 )/ IF(Table1[[#This Row],[config]]=0, 42381, 7618) * 10^9</f>
        <v>2802.11454900948</v>
      </c>
      <c r="AB194">
        <f>IF(Table1[[#This Row],[config]]=0, 2860, 2210) * (Table1[[#This Row],[cycles]] / 70) / 1000</f>
        <v>2.4105714285714286</v>
      </c>
    </row>
    <row r="195" spans="1:28" x14ac:dyDescent="0.25">
      <c r="A195" t="s">
        <v>20</v>
      </c>
      <c r="B195" t="s">
        <v>24</v>
      </c>
      <c r="C195">
        <v>3</v>
      </c>
      <c r="D195">
        <v>26</v>
      </c>
      <c r="E195">
        <v>32</v>
      </c>
      <c r="F195">
        <v>32</v>
      </c>
      <c r="G195">
        <v>32</v>
      </c>
      <c r="H195">
        <v>29</v>
      </c>
      <c r="I195">
        <v>18</v>
      </c>
      <c r="J195">
        <v>14</v>
      </c>
      <c r="K195">
        <v>0</v>
      </c>
      <c r="L195">
        <v>32</v>
      </c>
      <c r="M195">
        <v>0.67869999999999997</v>
      </c>
      <c r="N195">
        <v>65536</v>
      </c>
      <c r="O195">
        <v>14616</v>
      </c>
      <c r="P195">
        <v>0.77700000000000002</v>
      </c>
      <c r="Q195">
        <v>59</v>
      </c>
      <c r="R195">
        <v>49.3</v>
      </c>
      <c r="S195" t="b">
        <v>1</v>
      </c>
      <c r="T195">
        <v>0.84285714300000003</v>
      </c>
      <c r="U195">
        <v>193</v>
      </c>
      <c r="V195">
        <f>Table1[[#This Row],[orig_m]]+Table1[[#This Row],[orig_n]]+Table1[[#This Row],[orig_k]]-2</f>
        <v>94</v>
      </c>
      <c r="W195">
        <f>Table1[[#This Row],[Dense Baseline]]-Table1[[#This Row],[cycles]]</f>
        <v>35</v>
      </c>
      <c r="X195">
        <f>(Table1[[#This Row],[eff_macs]]/Table1[[#This Row],[cycles]])*0.07</f>
        <v>17.341016949152543</v>
      </c>
      <c r="Y195">
        <f>(Table1[[#This Row],[orig_macs]]/Table1[[#This Row],[cycles]])*0.07</f>
        <v>77.754576271186451</v>
      </c>
      <c r="Z195">
        <f>(Table1[[#This Row],[Dense-Equivalent Throughput (GOPS)]] / IF(Table1[[#This Row],[config]]=0,144781,7618)) * 1000</f>
        <v>0.5370495871087122</v>
      </c>
      <c r="AA195">
        <f>(Table1[[#This Row],[Dense-Equivalent Throughput (GOPS)]] / 654.74 )/ IF(Table1[[#This Row],[config]]=0, 42381, 7618) * 10^9</f>
        <v>2802.11454900948</v>
      </c>
      <c r="AB195">
        <f>IF(Table1[[#This Row],[config]]=0, 2860, 2210) * (Table1[[#This Row],[cycles]] / 70) / 1000</f>
        <v>2.4105714285714286</v>
      </c>
    </row>
    <row r="196" spans="1:28" x14ac:dyDescent="0.25">
      <c r="A196" t="s">
        <v>20</v>
      </c>
      <c r="B196" t="s">
        <v>24</v>
      </c>
      <c r="C196">
        <v>3</v>
      </c>
      <c r="D196">
        <v>27</v>
      </c>
      <c r="E196">
        <v>32</v>
      </c>
      <c r="F196">
        <v>32</v>
      </c>
      <c r="G196">
        <v>32</v>
      </c>
      <c r="H196">
        <v>29</v>
      </c>
      <c r="I196">
        <v>22</v>
      </c>
      <c r="J196">
        <v>14</v>
      </c>
      <c r="K196">
        <v>0</v>
      </c>
      <c r="L196">
        <v>32</v>
      </c>
      <c r="M196">
        <v>0.65139999999999998</v>
      </c>
      <c r="N196">
        <v>65536</v>
      </c>
      <c r="O196">
        <v>17864</v>
      </c>
      <c r="P196">
        <v>0.72740000000000005</v>
      </c>
      <c r="Q196">
        <v>63</v>
      </c>
      <c r="R196">
        <v>47.6</v>
      </c>
      <c r="S196" t="b">
        <v>1</v>
      </c>
      <c r="T196">
        <v>0.9</v>
      </c>
      <c r="U196">
        <v>194</v>
      </c>
      <c r="V196">
        <f>Table1[[#This Row],[orig_m]]+Table1[[#This Row],[orig_n]]+Table1[[#This Row],[orig_k]]-2</f>
        <v>94</v>
      </c>
      <c r="W196">
        <f>Table1[[#This Row],[Dense Baseline]]-Table1[[#This Row],[cycles]]</f>
        <v>31</v>
      </c>
      <c r="X196">
        <f>(Table1[[#This Row],[eff_macs]]/Table1[[#This Row],[cycles]])*0.07</f>
        <v>19.84888888888889</v>
      </c>
      <c r="Y196">
        <f>(Table1[[#This Row],[orig_macs]]/Table1[[#This Row],[cycles]])*0.07</f>
        <v>72.817777777777778</v>
      </c>
      <c r="Z196">
        <f>(Table1[[#This Row],[Dense-Equivalent Throughput (GOPS)]] / IF(Table1[[#This Row],[config]]=0,144781,7618)) * 1000</f>
        <v>0.50295120062561927</v>
      </c>
      <c r="AA196">
        <f>(Table1[[#This Row],[Dense-Equivalent Throughput (GOPS)]] / 654.74 )/ IF(Table1[[#This Row],[config]]=0, 42381, 7618) * 10^9</f>
        <v>2624.2025141517352</v>
      </c>
      <c r="AB196">
        <f>IF(Table1[[#This Row],[config]]=0, 2860, 2210) * (Table1[[#This Row],[cycles]] / 70) / 1000</f>
        <v>2.5739999999999998</v>
      </c>
    </row>
    <row r="197" spans="1:28" x14ac:dyDescent="0.25">
      <c r="A197" t="s">
        <v>20</v>
      </c>
      <c r="B197" t="s">
        <v>24</v>
      </c>
      <c r="C197">
        <v>3</v>
      </c>
      <c r="D197">
        <v>28</v>
      </c>
      <c r="E197">
        <v>32</v>
      </c>
      <c r="F197">
        <v>32</v>
      </c>
      <c r="G197">
        <v>32</v>
      </c>
      <c r="H197">
        <v>29</v>
      </c>
      <c r="I197">
        <v>13</v>
      </c>
      <c r="J197">
        <v>14</v>
      </c>
      <c r="K197">
        <v>0</v>
      </c>
      <c r="L197">
        <v>32</v>
      </c>
      <c r="M197">
        <v>0.71289999999999998</v>
      </c>
      <c r="N197">
        <v>65536</v>
      </c>
      <c r="O197">
        <v>10556</v>
      </c>
      <c r="P197">
        <v>0.83889999999999998</v>
      </c>
      <c r="Q197">
        <v>54</v>
      </c>
      <c r="R197">
        <v>48</v>
      </c>
      <c r="S197" t="b">
        <v>1</v>
      </c>
      <c r="T197">
        <v>0.77142857099999995</v>
      </c>
      <c r="U197">
        <v>195</v>
      </c>
      <c r="V197">
        <f>Table1[[#This Row],[orig_m]]+Table1[[#This Row],[orig_n]]+Table1[[#This Row],[orig_k]]-2</f>
        <v>94</v>
      </c>
      <c r="W197">
        <f>Table1[[#This Row],[Dense Baseline]]-Table1[[#This Row],[cycles]]</f>
        <v>40</v>
      </c>
      <c r="X197">
        <f>(Table1[[#This Row],[eff_macs]]/Table1[[#This Row],[cycles]])*0.07</f>
        <v>13.683703703703706</v>
      </c>
      <c r="Y197">
        <f>(Table1[[#This Row],[orig_macs]]/Table1[[#This Row],[cycles]])*0.07</f>
        <v>84.954074074074072</v>
      </c>
      <c r="Z197">
        <f>(Table1[[#This Row],[Dense-Equivalent Throughput (GOPS)]] / IF(Table1[[#This Row],[config]]=0,144781,7618)) * 1000</f>
        <v>0.58677640072988901</v>
      </c>
      <c r="AA197">
        <f>(Table1[[#This Row],[Dense-Equivalent Throughput (GOPS)]] / 654.74 )/ IF(Table1[[#This Row],[config]]=0, 42381, 7618) * 10^9</f>
        <v>3061.5695998436909</v>
      </c>
      <c r="AB197">
        <f>IF(Table1[[#This Row],[config]]=0, 2860, 2210) * (Table1[[#This Row],[cycles]] / 70) / 1000</f>
        <v>2.2062857142857144</v>
      </c>
    </row>
    <row r="198" spans="1:28" x14ac:dyDescent="0.25">
      <c r="A198" t="s">
        <v>20</v>
      </c>
      <c r="B198" t="s">
        <v>24</v>
      </c>
      <c r="C198">
        <v>3</v>
      </c>
      <c r="D198">
        <v>29</v>
      </c>
      <c r="E198">
        <v>32</v>
      </c>
      <c r="F198">
        <v>32</v>
      </c>
      <c r="G198">
        <v>32</v>
      </c>
      <c r="H198">
        <v>29</v>
      </c>
      <c r="I198">
        <v>18</v>
      </c>
      <c r="J198">
        <v>14</v>
      </c>
      <c r="K198">
        <v>0</v>
      </c>
      <c r="L198">
        <v>32</v>
      </c>
      <c r="M198">
        <v>0.67869999999999997</v>
      </c>
      <c r="N198">
        <v>65536</v>
      </c>
      <c r="O198">
        <v>14616</v>
      </c>
      <c r="P198">
        <v>0.77700000000000002</v>
      </c>
      <c r="Q198">
        <v>59</v>
      </c>
      <c r="R198">
        <v>50.9</v>
      </c>
      <c r="S198" t="b">
        <v>1</v>
      </c>
      <c r="T198">
        <v>0.84285714300000003</v>
      </c>
      <c r="U198">
        <v>196</v>
      </c>
      <c r="V198">
        <f>Table1[[#This Row],[orig_m]]+Table1[[#This Row],[orig_n]]+Table1[[#This Row],[orig_k]]-2</f>
        <v>94</v>
      </c>
      <c r="W198">
        <f>Table1[[#This Row],[Dense Baseline]]-Table1[[#This Row],[cycles]]</f>
        <v>35</v>
      </c>
      <c r="X198">
        <f>(Table1[[#This Row],[eff_macs]]/Table1[[#This Row],[cycles]])*0.07</f>
        <v>17.341016949152543</v>
      </c>
      <c r="Y198">
        <f>(Table1[[#This Row],[orig_macs]]/Table1[[#This Row],[cycles]])*0.07</f>
        <v>77.754576271186451</v>
      </c>
      <c r="Z198">
        <f>(Table1[[#This Row],[Dense-Equivalent Throughput (GOPS)]] / IF(Table1[[#This Row],[config]]=0,144781,7618)) * 1000</f>
        <v>0.5370495871087122</v>
      </c>
      <c r="AA198">
        <f>(Table1[[#This Row],[Dense-Equivalent Throughput (GOPS)]] / 654.74 )/ IF(Table1[[#This Row],[config]]=0, 42381, 7618) * 10^9</f>
        <v>2802.11454900948</v>
      </c>
      <c r="AB198">
        <f>IF(Table1[[#This Row],[config]]=0, 2860, 2210) * (Table1[[#This Row],[cycles]] / 70) / 1000</f>
        <v>2.4105714285714286</v>
      </c>
    </row>
    <row r="199" spans="1:28" x14ac:dyDescent="0.25">
      <c r="A199" t="s">
        <v>20</v>
      </c>
      <c r="B199" t="s">
        <v>24</v>
      </c>
      <c r="C199">
        <v>3</v>
      </c>
      <c r="D199">
        <v>30</v>
      </c>
      <c r="E199">
        <v>32</v>
      </c>
      <c r="F199">
        <v>32</v>
      </c>
      <c r="G199">
        <v>32</v>
      </c>
      <c r="H199">
        <v>29</v>
      </c>
      <c r="I199">
        <v>17</v>
      </c>
      <c r="J199">
        <v>14</v>
      </c>
      <c r="K199">
        <v>0</v>
      </c>
      <c r="L199">
        <v>32</v>
      </c>
      <c r="M199">
        <v>0.6855</v>
      </c>
      <c r="N199">
        <v>65536</v>
      </c>
      <c r="O199">
        <v>13804</v>
      </c>
      <c r="P199">
        <v>0.78939999999999999</v>
      </c>
      <c r="Q199">
        <v>58</v>
      </c>
      <c r="R199">
        <v>57.4</v>
      </c>
      <c r="S199" t="b">
        <v>1</v>
      </c>
      <c r="T199">
        <v>0.82857142900000003</v>
      </c>
      <c r="U199">
        <v>197</v>
      </c>
      <c r="V199">
        <f>Table1[[#This Row],[orig_m]]+Table1[[#This Row],[orig_n]]+Table1[[#This Row],[orig_k]]-2</f>
        <v>94</v>
      </c>
      <c r="W199">
        <f>Table1[[#This Row],[Dense Baseline]]-Table1[[#This Row],[cycles]]</f>
        <v>36</v>
      </c>
      <c r="X199">
        <f>(Table1[[#This Row],[eff_macs]]/Table1[[#This Row],[cycles]])*0.07</f>
        <v>16.66</v>
      </c>
      <c r="Y199">
        <f>(Table1[[#This Row],[orig_macs]]/Table1[[#This Row],[cycles]])*0.07</f>
        <v>79.095172413793108</v>
      </c>
      <c r="Z199">
        <f>(Table1[[#This Row],[Dense-Equivalent Throughput (GOPS)]] / IF(Table1[[#This Row],[config]]=0,144781,7618)) * 1000</f>
        <v>0.54630906274851743</v>
      </c>
      <c r="AA199">
        <f>(Table1[[#This Row],[Dense-Equivalent Throughput (GOPS)]] / 654.74 )/ IF(Table1[[#This Row],[config]]=0, 42381, 7618) * 10^9</f>
        <v>2850.4268688199882</v>
      </c>
      <c r="AB199">
        <f>IF(Table1[[#This Row],[config]]=0, 2860, 2210) * (Table1[[#This Row],[cycles]] / 70) / 1000</f>
        <v>2.3697142857142857</v>
      </c>
    </row>
    <row r="200" spans="1:28" x14ac:dyDescent="0.25">
      <c r="A200" t="s">
        <v>20</v>
      </c>
      <c r="B200" t="s">
        <v>24</v>
      </c>
      <c r="C200">
        <v>3</v>
      </c>
      <c r="D200">
        <v>31</v>
      </c>
      <c r="E200">
        <v>32</v>
      </c>
      <c r="F200">
        <v>32</v>
      </c>
      <c r="G200">
        <v>32</v>
      </c>
      <c r="H200">
        <v>32</v>
      </c>
      <c r="I200">
        <v>18</v>
      </c>
      <c r="J200">
        <v>18</v>
      </c>
      <c r="K200">
        <v>0</v>
      </c>
      <c r="L200">
        <v>32</v>
      </c>
      <c r="M200">
        <v>0.5605</v>
      </c>
      <c r="N200">
        <v>65536</v>
      </c>
      <c r="O200">
        <v>20736</v>
      </c>
      <c r="P200">
        <v>0.68359999999999999</v>
      </c>
      <c r="Q200">
        <v>66</v>
      </c>
      <c r="R200">
        <v>38.4</v>
      </c>
      <c r="S200" t="b">
        <v>1</v>
      </c>
      <c r="T200">
        <v>0.94285714300000001</v>
      </c>
      <c r="U200">
        <v>198</v>
      </c>
      <c r="V200">
        <f>Table1[[#This Row],[orig_m]]+Table1[[#This Row],[orig_n]]+Table1[[#This Row],[orig_k]]-2</f>
        <v>94</v>
      </c>
      <c r="W200">
        <f>Table1[[#This Row],[Dense Baseline]]-Table1[[#This Row],[cycles]]</f>
        <v>28</v>
      </c>
      <c r="X200">
        <f>(Table1[[#This Row],[eff_macs]]/Table1[[#This Row],[cycles]])*0.07</f>
        <v>21.992727272727276</v>
      </c>
      <c r="Y200">
        <f>(Table1[[#This Row],[orig_macs]]/Table1[[#This Row],[cycles]])*0.07</f>
        <v>69.507878787878795</v>
      </c>
      <c r="Z200">
        <f>(Table1[[#This Row],[Dense-Equivalent Throughput (GOPS)]] / IF(Table1[[#This Row],[config]]=0,144781,7618)) * 1000</f>
        <v>0.48008978241536382</v>
      </c>
      <c r="AA200">
        <f>(Table1[[#This Row],[Dense-Equivalent Throughput (GOPS)]] / 654.74 )/ IF(Table1[[#This Row],[config]]=0, 42381, 7618) * 10^9</f>
        <v>2504.9205816902927</v>
      </c>
      <c r="AB200">
        <f>IF(Table1[[#This Row],[config]]=0, 2860, 2210) * (Table1[[#This Row],[cycles]] / 70) / 1000</f>
        <v>2.6965714285714286</v>
      </c>
    </row>
    <row r="201" spans="1:28" x14ac:dyDescent="0.25">
      <c r="A201" t="s">
        <v>20</v>
      </c>
      <c r="B201" t="s">
        <v>24</v>
      </c>
      <c r="C201">
        <v>3</v>
      </c>
      <c r="D201">
        <v>32</v>
      </c>
      <c r="E201">
        <v>32</v>
      </c>
      <c r="F201">
        <v>32</v>
      </c>
      <c r="G201">
        <v>32</v>
      </c>
      <c r="H201">
        <v>32</v>
      </c>
      <c r="I201">
        <v>18</v>
      </c>
      <c r="J201">
        <v>18</v>
      </c>
      <c r="K201">
        <v>0</v>
      </c>
      <c r="L201">
        <v>32</v>
      </c>
      <c r="M201">
        <v>0.5605</v>
      </c>
      <c r="N201">
        <v>65536</v>
      </c>
      <c r="O201">
        <v>20736</v>
      </c>
      <c r="P201">
        <v>0.68359999999999999</v>
      </c>
      <c r="Q201">
        <v>66</v>
      </c>
      <c r="R201">
        <v>39.1</v>
      </c>
      <c r="S201" t="b">
        <v>1</v>
      </c>
      <c r="T201">
        <v>0.94285714300000001</v>
      </c>
      <c r="U201">
        <v>199</v>
      </c>
      <c r="V201">
        <f>Table1[[#This Row],[orig_m]]+Table1[[#This Row],[orig_n]]+Table1[[#This Row],[orig_k]]-2</f>
        <v>94</v>
      </c>
      <c r="W201">
        <f>Table1[[#This Row],[Dense Baseline]]-Table1[[#This Row],[cycles]]</f>
        <v>28</v>
      </c>
      <c r="X201">
        <f>(Table1[[#This Row],[eff_macs]]/Table1[[#This Row],[cycles]])*0.07</f>
        <v>21.992727272727276</v>
      </c>
      <c r="Y201">
        <f>(Table1[[#This Row],[orig_macs]]/Table1[[#This Row],[cycles]])*0.07</f>
        <v>69.507878787878795</v>
      </c>
      <c r="Z201">
        <f>(Table1[[#This Row],[Dense-Equivalent Throughput (GOPS)]] / IF(Table1[[#This Row],[config]]=0,144781,7618)) * 1000</f>
        <v>0.48008978241536382</v>
      </c>
      <c r="AA201">
        <f>(Table1[[#This Row],[Dense-Equivalent Throughput (GOPS)]] / 654.74 )/ IF(Table1[[#This Row],[config]]=0, 42381, 7618) * 10^9</f>
        <v>2504.9205816902927</v>
      </c>
      <c r="AB201">
        <f>IF(Table1[[#This Row],[config]]=0, 2860, 2210) * (Table1[[#This Row],[cycles]] / 70) / 1000</f>
        <v>2.6965714285714286</v>
      </c>
    </row>
    <row r="202" spans="1:28" x14ac:dyDescent="0.25">
      <c r="A202" t="s">
        <v>20</v>
      </c>
      <c r="B202" t="s">
        <v>24</v>
      </c>
      <c r="C202">
        <v>3</v>
      </c>
      <c r="D202">
        <v>33</v>
      </c>
      <c r="E202">
        <v>32</v>
      </c>
      <c r="F202">
        <v>32</v>
      </c>
      <c r="G202">
        <v>32</v>
      </c>
      <c r="H202">
        <v>32</v>
      </c>
      <c r="I202">
        <v>22</v>
      </c>
      <c r="J202">
        <v>18</v>
      </c>
      <c r="K202">
        <v>0</v>
      </c>
      <c r="L202">
        <v>32</v>
      </c>
      <c r="M202">
        <v>0.52539999999999998</v>
      </c>
      <c r="N202">
        <v>65536</v>
      </c>
      <c r="O202">
        <v>25344</v>
      </c>
      <c r="P202">
        <v>0.61329999999999996</v>
      </c>
      <c r="Q202">
        <v>70</v>
      </c>
      <c r="R202">
        <v>49</v>
      </c>
      <c r="S202" t="b">
        <v>1</v>
      </c>
      <c r="T202">
        <v>1</v>
      </c>
      <c r="U202">
        <v>200</v>
      </c>
      <c r="V202">
        <f>Table1[[#This Row],[orig_m]]+Table1[[#This Row],[orig_n]]+Table1[[#This Row],[orig_k]]-2</f>
        <v>94</v>
      </c>
      <c r="W202">
        <f>Table1[[#This Row],[Dense Baseline]]-Table1[[#This Row],[cycles]]</f>
        <v>24</v>
      </c>
      <c r="X202">
        <f>(Table1[[#This Row],[eff_macs]]/Table1[[#This Row],[cycles]])*0.07</f>
        <v>25.344000000000005</v>
      </c>
      <c r="Y202">
        <f>(Table1[[#This Row],[orig_macs]]/Table1[[#This Row],[cycles]])*0.07</f>
        <v>65.536000000000001</v>
      </c>
      <c r="Z202">
        <f>(Table1[[#This Row],[Dense-Equivalent Throughput (GOPS)]] / IF(Table1[[#This Row],[config]]=0,144781,7618)) * 1000</f>
        <v>0.45265608056305734</v>
      </c>
      <c r="AA202">
        <f>(Table1[[#This Row],[Dense-Equivalent Throughput (GOPS)]] / 654.74 )/ IF(Table1[[#This Row],[config]]=0, 42381, 7618) * 10^9</f>
        <v>2361.7822627365617</v>
      </c>
      <c r="AB202">
        <f>IF(Table1[[#This Row],[config]]=0, 2860, 2210) * (Table1[[#This Row],[cycles]] / 70) / 1000</f>
        <v>2.86</v>
      </c>
    </row>
    <row r="203" spans="1:28" x14ac:dyDescent="0.25">
      <c r="A203" t="s">
        <v>20</v>
      </c>
      <c r="B203" t="s">
        <v>24</v>
      </c>
      <c r="C203">
        <v>3</v>
      </c>
      <c r="D203">
        <v>34</v>
      </c>
      <c r="E203">
        <v>32</v>
      </c>
      <c r="F203">
        <v>32</v>
      </c>
      <c r="G203">
        <v>32</v>
      </c>
      <c r="H203">
        <v>32</v>
      </c>
      <c r="I203">
        <v>13</v>
      </c>
      <c r="J203">
        <v>18</v>
      </c>
      <c r="K203">
        <v>0</v>
      </c>
      <c r="L203">
        <v>32</v>
      </c>
      <c r="M203">
        <v>0.60450000000000004</v>
      </c>
      <c r="N203">
        <v>65536</v>
      </c>
      <c r="O203">
        <v>14976</v>
      </c>
      <c r="P203">
        <v>0.77149999999999996</v>
      </c>
      <c r="Q203">
        <v>61</v>
      </c>
      <c r="R203">
        <v>38.299999999999997</v>
      </c>
      <c r="S203" t="b">
        <v>1</v>
      </c>
      <c r="T203">
        <v>0.87142857100000004</v>
      </c>
      <c r="U203">
        <v>201</v>
      </c>
      <c r="V203">
        <f>Table1[[#This Row],[orig_m]]+Table1[[#This Row],[orig_n]]+Table1[[#This Row],[orig_k]]-2</f>
        <v>94</v>
      </c>
      <c r="W203">
        <f>Table1[[#This Row],[Dense Baseline]]-Table1[[#This Row],[cycles]]</f>
        <v>33</v>
      </c>
      <c r="X203">
        <f>(Table1[[#This Row],[eff_macs]]/Table1[[#This Row],[cycles]])*0.07</f>
        <v>17.185573770491803</v>
      </c>
      <c r="Y203">
        <f>(Table1[[#This Row],[orig_macs]]/Table1[[#This Row],[cycles]])*0.07</f>
        <v>75.205245901639358</v>
      </c>
      <c r="Z203">
        <f>(Table1[[#This Row],[Dense-Equivalent Throughput (GOPS)]] / IF(Table1[[#This Row],[config]]=0,144781,7618)) * 1000</f>
        <v>0.51944140392481997</v>
      </c>
      <c r="AA203">
        <f>(Table1[[#This Row],[Dense-Equivalent Throughput (GOPS)]] / 654.74 )/ IF(Table1[[#This Row],[config]]=0, 42381, 7618) * 10^9</f>
        <v>2710.2419408452347</v>
      </c>
      <c r="AB203">
        <f>IF(Table1[[#This Row],[config]]=0, 2860, 2210) * (Table1[[#This Row],[cycles]] / 70) / 1000</f>
        <v>2.4922857142857144</v>
      </c>
    </row>
    <row r="204" spans="1:28" x14ac:dyDescent="0.25">
      <c r="A204" t="s">
        <v>20</v>
      </c>
      <c r="B204" t="s">
        <v>24</v>
      </c>
      <c r="C204">
        <v>3</v>
      </c>
      <c r="D204">
        <v>35</v>
      </c>
      <c r="E204">
        <v>32</v>
      </c>
      <c r="F204">
        <v>32</v>
      </c>
      <c r="G204">
        <v>32</v>
      </c>
      <c r="H204">
        <v>32</v>
      </c>
      <c r="I204">
        <v>18</v>
      </c>
      <c r="J204">
        <v>18</v>
      </c>
      <c r="K204">
        <v>0</v>
      </c>
      <c r="L204">
        <v>32</v>
      </c>
      <c r="M204">
        <v>0.5605</v>
      </c>
      <c r="N204">
        <v>65536</v>
      </c>
      <c r="O204">
        <v>20736</v>
      </c>
      <c r="P204">
        <v>0.68359999999999999</v>
      </c>
      <c r="Q204">
        <v>66</v>
      </c>
      <c r="R204">
        <v>48.4</v>
      </c>
      <c r="S204" t="b">
        <v>1</v>
      </c>
      <c r="T204">
        <v>0.94285714300000001</v>
      </c>
      <c r="U204">
        <v>202</v>
      </c>
      <c r="V204">
        <f>Table1[[#This Row],[orig_m]]+Table1[[#This Row],[orig_n]]+Table1[[#This Row],[orig_k]]-2</f>
        <v>94</v>
      </c>
      <c r="W204">
        <f>Table1[[#This Row],[Dense Baseline]]-Table1[[#This Row],[cycles]]</f>
        <v>28</v>
      </c>
      <c r="X204">
        <f>(Table1[[#This Row],[eff_macs]]/Table1[[#This Row],[cycles]])*0.07</f>
        <v>21.992727272727276</v>
      </c>
      <c r="Y204">
        <f>(Table1[[#This Row],[orig_macs]]/Table1[[#This Row],[cycles]])*0.07</f>
        <v>69.507878787878795</v>
      </c>
      <c r="Z204">
        <f>(Table1[[#This Row],[Dense-Equivalent Throughput (GOPS)]] / IF(Table1[[#This Row],[config]]=0,144781,7618)) * 1000</f>
        <v>0.48008978241536382</v>
      </c>
      <c r="AA204">
        <f>(Table1[[#This Row],[Dense-Equivalent Throughput (GOPS)]] / 654.74 )/ IF(Table1[[#This Row],[config]]=0, 42381, 7618) * 10^9</f>
        <v>2504.9205816902927</v>
      </c>
      <c r="AB204">
        <f>IF(Table1[[#This Row],[config]]=0, 2860, 2210) * (Table1[[#This Row],[cycles]] / 70) / 1000</f>
        <v>2.6965714285714286</v>
      </c>
    </row>
    <row r="205" spans="1:28" x14ac:dyDescent="0.25">
      <c r="A205" t="s">
        <v>20</v>
      </c>
      <c r="B205" t="s">
        <v>24</v>
      </c>
      <c r="C205">
        <v>3</v>
      </c>
      <c r="D205">
        <v>36</v>
      </c>
      <c r="E205">
        <v>32</v>
      </c>
      <c r="F205">
        <v>32</v>
      </c>
      <c r="G205">
        <v>32</v>
      </c>
      <c r="H205">
        <v>32</v>
      </c>
      <c r="I205">
        <v>17</v>
      </c>
      <c r="J205">
        <v>18</v>
      </c>
      <c r="K205">
        <v>0</v>
      </c>
      <c r="L205">
        <v>32</v>
      </c>
      <c r="M205">
        <v>0.56930000000000003</v>
      </c>
      <c r="N205">
        <v>65536</v>
      </c>
      <c r="O205">
        <v>19584</v>
      </c>
      <c r="P205">
        <v>0.70120000000000005</v>
      </c>
      <c r="Q205">
        <v>65</v>
      </c>
      <c r="R205">
        <v>49</v>
      </c>
      <c r="S205" t="b">
        <v>1</v>
      </c>
      <c r="T205">
        <v>0.928571429</v>
      </c>
      <c r="U205">
        <v>203</v>
      </c>
      <c r="V205">
        <f>Table1[[#This Row],[orig_m]]+Table1[[#This Row],[orig_n]]+Table1[[#This Row],[orig_k]]-2</f>
        <v>94</v>
      </c>
      <c r="W205">
        <f>Table1[[#This Row],[Dense Baseline]]-Table1[[#This Row],[cycles]]</f>
        <v>29</v>
      </c>
      <c r="X205">
        <f>(Table1[[#This Row],[eff_macs]]/Table1[[#This Row],[cycles]])*0.07</f>
        <v>21.09046153846154</v>
      </c>
      <c r="Y205">
        <f>(Table1[[#This Row],[orig_macs]]/Table1[[#This Row],[cycles]])*0.07</f>
        <v>70.577230769230781</v>
      </c>
      <c r="Z205">
        <f>(Table1[[#This Row],[Dense-Equivalent Throughput (GOPS)]] / IF(Table1[[#This Row],[config]]=0,144781,7618)) * 1000</f>
        <v>0.48747577906790795</v>
      </c>
      <c r="AA205">
        <f>(Table1[[#This Row],[Dense-Equivalent Throughput (GOPS)]] / 654.74 )/ IF(Table1[[#This Row],[config]]=0, 42381, 7618) * 10^9</f>
        <v>2543.457821408605</v>
      </c>
      <c r="AB205">
        <f>IF(Table1[[#This Row],[config]]=0, 2860, 2210) * (Table1[[#This Row],[cycles]] / 70) / 1000</f>
        <v>2.6557142857142857</v>
      </c>
    </row>
    <row r="206" spans="1:28" x14ac:dyDescent="0.25">
      <c r="A206" t="s">
        <v>20</v>
      </c>
      <c r="B206" t="s">
        <v>24</v>
      </c>
      <c r="C206">
        <v>3</v>
      </c>
      <c r="D206">
        <v>37</v>
      </c>
      <c r="E206">
        <v>32</v>
      </c>
      <c r="F206">
        <v>32</v>
      </c>
      <c r="G206">
        <v>32</v>
      </c>
      <c r="H206">
        <v>31</v>
      </c>
      <c r="I206">
        <v>18</v>
      </c>
      <c r="J206">
        <v>23</v>
      </c>
      <c r="K206">
        <v>0</v>
      </c>
      <c r="L206">
        <v>32</v>
      </c>
      <c r="M206">
        <v>0.44969999999999999</v>
      </c>
      <c r="N206">
        <v>65536</v>
      </c>
      <c r="O206">
        <v>25668</v>
      </c>
      <c r="P206">
        <v>0.60829999999999995</v>
      </c>
      <c r="Q206">
        <v>70</v>
      </c>
      <c r="R206">
        <v>49.1</v>
      </c>
      <c r="S206" t="b">
        <v>1</v>
      </c>
      <c r="T206">
        <v>1</v>
      </c>
      <c r="U206">
        <v>204</v>
      </c>
      <c r="V206">
        <f>Table1[[#This Row],[orig_m]]+Table1[[#This Row],[orig_n]]+Table1[[#This Row],[orig_k]]-2</f>
        <v>94</v>
      </c>
      <c r="W206">
        <f>Table1[[#This Row],[Dense Baseline]]-Table1[[#This Row],[cycles]]</f>
        <v>24</v>
      </c>
      <c r="X206">
        <f>(Table1[[#This Row],[eff_macs]]/Table1[[#This Row],[cycles]])*0.07</f>
        <v>25.668000000000003</v>
      </c>
      <c r="Y206">
        <f>(Table1[[#This Row],[orig_macs]]/Table1[[#This Row],[cycles]])*0.07</f>
        <v>65.536000000000001</v>
      </c>
      <c r="Z206">
        <f>(Table1[[#This Row],[Dense-Equivalent Throughput (GOPS)]] / IF(Table1[[#This Row],[config]]=0,144781,7618)) * 1000</f>
        <v>0.45265608056305734</v>
      </c>
      <c r="AA206">
        <f>(Table1[[#This Row],[Dense-Equivalent Throughput (GOPS)]] / 654.74 )/ IF(Table1[[#This Row],[config]]=0, 42381, 7618) * 10^9</f>
        <v>2361.7822627365617</v>
      </c>
      <c r="AB206">
        <f>IF(Table1[[#This Row],[config]]=0, 2860, 2210) * (Table1[[#This Row],[cycles]] / 70) / 1000</f>
        <v>2.86</v>
      </c>
    </row>
    <row r="207" spans="1:28" x14ac:dyDescent="0.25">
      <c r="A207" t="s">
        <v>20</v>
      </c>
      <c r="B207" t="s">
        <v>24</v>
      </c>
      <c r="C207">
        <v>3</v>
      </c>
      <c r="D207">
        <v>38</v>
      </c>
      <c r="E207">
        <v>32</v>
      </c>
      <c r="F207">
        <v>32</v>
      </c>
      <c r="G207">
        <v>32</v>
      </c>
      <c r="H207">
        <v>31</v>
      </c>
      <c r="I207">
        <v>18</v>
      </c>
      <c r="J207">
        <v>23</v>
      </c>
      <c r="K207">
        <v>0</v>
      </c>
      <c r="L207">
        <v>32</v>
      </c>
      <c r="M207">
        <v>0.44969999999999999</v>
      </c>
      <c r="N207">
        <v>65536</v>
      </c>
      <c r="O207">
        <v>25668</v>
      </c>
      <c r="P207">
        <v>0.60829999999999995</v>
      </c>
      <c r="Q207">
        <v>70</v>
      </c>
      <c r="R207">
        <v>48.4</v>
      </c>
      <c r="S207" t="b">
        <v>1</v>
      </c>
      <c r="T207">
        <v>1</v>
      </c>
      <c r="U207">
        <v>205</v>
      </c>
      <c r="V207">
        <f>Table1[[#This Row],[orig_m]]+Table1[[#This Row],[orig_n]]+Table1[[#This Row],[orig_k]]-2</f>
        <v>94</v>
      </c>
      <c r="W207">
        <f>Table1[[#This Row],[Dense Baseline]]-Table1[[#This Row],[cycles]]</f>
        <v>24</v>
      </c>
      <c r="X207">
        <f>(Table1[[#This Row],[eff_macs]]/Table1[[#This Row],[cycles]])*0.07</f>
        <v>25.668000000000003</v>
      </c>
      <c r="Y207">
        <f>(Table1[[#This Row],[orig_macs]]/Table1[[#This Row],[cycles]])*0.07</f>
        <v>65.536000000000001</v>
      </c>
      <c r="Z207">
        <f>(Table1[[#This Row],[Dense-Equivalent Throughput (GOPS)]] / IF(Table1[[#This Row],[config]]=0,144781,7618)) * 1000</f>
        <v>0.45265608056305734</v>
      </c>
      <c r="AA207">
        <f>(Table1[[#This Row],[Dense-Equivalent Throughput (GOPS)]] / 654.74 )/ IF(Table1[[#This Row],[config]]=0, 42381, 7618) * 10^9</f>
        <v>2361.7822627365617</v>
      </c>
      <c r="AB207">
        <f>IF(Table1[[#This Row],[config]]=0, 2860, 2210) * (Table1[[#This Row],[cycles]] / 70) / 1000</f>
        <v>2.86</v>
      </c>
    </row>
    <row r="208" spans="1:28" x14ac:dyDescent="0.25">
      <c r="A208" t="s">
        <v>20</v>
      </c>
      <c r="B208" t="s">
        <v>24</v>
      </c>
      <c r="C208">
        <v>3</v>
      </c>
      <c r="D208">
        <v>39</v>
      </c>
      <c r="E208">
        <v>32</v>
      </c>
      <c r="F208">
        <v>32</v>
      </c>
      <c r="G208">
        <v>32</v>
      </c>
      <c r="H208">
        <v>31</v>
      </c>
      <c r="I208">
        <v>22</v>
      </c>
      <c r="J208">
        <v>23</v>
      </c>
      <c r="K208">
        <v>0</v>
      </c>
      <c r="L208">
        <v>32</v>
      </c>
      <c r="M208">
        <v>0.40479999999999999</v>
      </c>
      <c r="N208">
        <v>65536</v>
      </c>
      <c r="O208">
        <v>31372</v>
      </c>
      <c r="P208">
        <v>0.52129999999999999</v>
      </c>
      <c r="Q208">
        <v>74</v>
      </c>
      <c r="R208">
        <v>39.9</v>
      </c>
      <c r="S208" t="b">
        <v>1</v>
      </c>
      <c r="T208">
        <v>1.0571428570000001</v>
      </c>
      <c r="U208">
        <v>206</v>
      </c>
      <c r="V208">
        <f>Table1[[#This Row],[orig_m]]+Table1[[#This Row],[orig_n]]+Table1[[#This Row],[orig_k]]-2</f>
        <v>94</v>
      </c>
      <c r="W208">
        <f>Table1[[#This Row],[Dense Baseline]]-Table1[[#This Row],[cycles]]</f>
        <v>20</v>
      </c>
      <c r="X208">
        <f>(Table1[[#This Row],[eff_macs]]/Table1[[#This Row],[cycles]])*0.07</f>
        <v>29.676216216216218</v>
      </c>
      <c r="Y208">
        <f>(Table1[[#This Row],[orig_macs]]/Table1[[#This Row],[cycles]])*0.07</f>
        <v>61.99351351351352</v>
      </c>
      <c r="Z208">
        <f>(Table1[[#This Row],[Dense-Equivalent Throughput (GOPS)]] / IF(Table1[[#This Row],[config]]=0,144781,7618)) * 1000</f>
        <v>0.4281881843164056</v>
      </c>
      <c r="AA208">
        <f>(Table1[[#This Row],[Dense-Equivalent Throughput (GOPS)]] / 654.74 )/ IF(Table1[[#This Row],[config]]=0, 42381, 7618) * 10^9</f>
        <v>2234.1183566426935</v>
      </c>
      <c r="AB208">
        <f>IF(Table1[[#This Row],[config]]=0, 2860, 2210) * (Table1[[#This Row],[cycles]] / 70) / 1000</f>
        <v>3.0234285714285716</v>
      </c>
    </row>
    <row r="209" spans="1:28" x14ac:dyDescent="0.25">
      <c r="A209" t="s">
        <v>20</v>
      </c>
      <c r="B209" t="s">
        <v>24</v>
      </c>
      <c r="C209">
        <v>3</v>
      </c>
      <c r="D209">
        <v>40</v>
      </c>
      <c r="E209">
        <v>32</v>
      </c>
      <c r="F209">
        <v>32</v>
      </c>
      <c r="G209">
        <v>32</v>
      </c>
      <c r="H209">
        <v>31</v>
      </c>
      <c r="I209">
        <v>13</v>
      </c>
      <c r="J209">
        <v>23</v>
      </c>
      <c r="K209">
        <v>0</v>
      </c>
      <c r="L209">
        <v>32</v>
      </c>
      <c r="M209">
        <v>0.50590000000000002</v>
      </c>
      <c r="N209">
        <v>65536</v>
      </c>
      <c r="O209">
        <v>18538</v>
      </c>
      <c r="P209">
        <v>0.71709999999999996</v>
      </c>
      <c r="Q209">
        <v>65</v>
      </c>
      <c r="R209">
        <v>45.9</v>
      </c>
      <c r="S209" t="b">
        <v>1</v>
      </c>
      <c r="T209">
        <v>0.928571429</v>
      </c>
      <c r="U209">
        <v>207</v>
      </c>
      <c r="V209">
        <f>Table1[[#This Row],[orig_m]]+Table1[[#This Row],[orig_n]]+Table1[[#This Row],[orig_k]]-2</f>
        <v>94</v>
      </c>
      <c r="W209">
        <f>Table1[[#This Row],[Dense Baseline]]-Table1[[#This Row],[cycles]]</f>
        <v>29</v>
      </c>
      <c r="X209">
        <f>(Table1[[#This Row],[eff_macs]]/Table1[[#This Row],[cycles]])*0.07</f>
        <v>19.964000000000002</v>
      </c>
      <c r="Y209">
        <f>(Table1[[#This Row],[orig_macs]]/Table1[[#This Row],[cycles]])*0.07</f>
        <v>70.577230769230781</v>
      </c>
      <c r="Z209">
        <f>(Table1[[#This Row],[Dense-Equivalent Throughput (GOPS)]] / IF(Table1[[#This Row],[config]]=0,144781,7618)) * 1000</f>
        <v>0.48747577906790795</v>
      </c>
      <c r="AA209">
        <f>(Table1[[#This Row],[Dense-Equivalent Throughput (GOPS)]] / 654.74 )/ IF(Table1[[#This Row],[config]]=0, 42381, 7618) * 10^9</f>
        <v>2543.457821408605</v>
      </c>
      <c r="AB209">
        <f>IF(Table1[[#This Row],[config]]=0, 2860, 2210) * (Table1[[#This Row],[cycles]] / 70) / 1000</f>
        <v>2.6557142857142857</v>
      </c>
    </row>
    <row r="210" spans="1:28" x14ac:dyDescent="0.25">
      <c r="A210" t="s">
        <v>20</v>
      </c>
      <c r="B210" t="s">
        <v>24</v>
      </c>
      <c r="C210">
        <v>3</v>
      </c>
      <c r="D210">
        <v>41</v>
      </c>
      <c r="E210">
        <v>32</v>
      </c>
      <c r="F210">
        <v>32</v>
      </c>
      <c r="G210">
        <v>32</v>
      </c>
      <c r="H210">
        <v>31</v>
      </c>
      <c r="I210">
        <v>18</v>
      </c>
      <c r="J210">
        <v>23</v>
      </c>
      <c r="K210">
        <v>0</v>
      </c>
      <c r="L210">
        <v>32</v>
      </c>
      <c r="M210">
        <v>0.44969999999999999</v>
      </c>
      <c r="N210">
        <v>65536</v>
      </c>
      <c r="O210">
        <v>25668</v>
      </c>
      <c r="P210">
        <v>0.60829999999999995</v>
      </c>
      <c r="Q210">
        <v>70</v>
      </c>
      <c r="R210">
        <v>49</v>
      </c>
      <c r="S210" t="b">
        <v>1</v>
      </c>
      <c r="T210">
        <v>1</v>
      </c>
      <c r="U210">
        <v>208</v>
      </c>
      <c r="V210">
        <f>Table1[[#This Row],[orig_m]]+Table1[[#This Row],[orig_n]]+Table1[[#This Row],[orig_k]]-2</f>
        <v>94</v>
      </c>
      <c r="W210">
        <f>Table1[[#This Row],[Dense Baseline]]-Table1[[#This Row],[cycles]]</f>
        <v>24</v>
      </c>
      <c r="X210">
        <f>(Table1[[#This Row],[eff_macs]]/Table1[[#This Row],[cycles]])*0.07</f>
        <v>25.668000000000003</v>
      </c>
      <c r="Y210">
        <f>(Table1[[#This Row],[orig_macs]]/Table1[[#This Row],[cycles]])*0.07</f>
        <v>65.536000000000001</v>
      </c>
      <c r="Z210">
        <f>(Table1[[#This Row],[Dense-Equivalent Throughput (GOPS)]] / IF(Table1[[#This Row],[config]]=0,144781,7618)) * 1000</f>
        <v>0.45265608056305734</v>
      </c>
      <c r="AA210">
        <f>(Table1[[#This Row],[Dense-Equivalent Throughput (GOPS)]] / 654.74 )/ IF(Table1[[#This Row],[config]]=0, 42381, 7618) * 10^9</f>
        <v>2361.7822627365617</v>
      </c>
      <c r="AB210">
        <f>IF(Table1[[#This Row],[config]]=0, 2860, 2210) * (Table1[[#This Row],[cycles]] / 70) / 1000</f>
        <v>2.86</v>
      </c>
    </row>
    <row r="211" spans="1:28" x14ac:dyDescent="0.25">
      <c r="A211" t="s">
        <v>20</v>
      </c>
      <c r="B211" t="s">
        <v>24</v>
      </c>
      <c r="C211">
        <v>3</v>
      </c>
      <c r="D211">
        <v>42</v>
      </c>
      <c r="E211">
        <v>32</v>
      </c>
      <c r="F211">
        <v>32</v>
      </c>
      <c r="G211">
        <v>32</v>
      </c>
      <c r="H211">
        <v>31</v>
      </c>
      <c r="I211">
        <v>17</v>
      </c>
      <c r="J211">
        <v>23</v>
      </c>
      <c r="K211">
        <v>0</v>
      </c>
      <c r="L211">
        <v>32</v>
      </c>
      <c r="M211">
        <v>0.46089999999999998</v>
      </c>
      <c r="N211">
        <v>65536</v>
      </c>
      <c r="O211">
        <v>24242</v>
      </c>
      <c r="P211">
        <v>0.63009999999999999</v>
      </c>
      <c r="Q211">
        <v>69</v>
      </c>
      <c r="R211">
        <v>48.3</v>
      </c>
      <c r="S211" t="b">
        <v>1</v>
      </c>
      <c r="T211">
        <v>0.985714286</v>
      </c>
      <c r="U211">
        <v>209</v>
      </c>
      <c r="V211">
        <f>Table1[[#This Row],[orig_m]]+Table1[[#This Row],[orig_n]]+Table1[[#This Row],[orig_k]]-2</f>
        <v>94</v>
      </c>
      <c r="W211">
        <f>Table1[[#This Row],[Dense Baseline]]-Table1[[#This Row],[cycles]]</f>
        <v>25</v>
      </c>
      <c r="X211">
        <f>(Table1[[#This Row],[eff_macs]]/Table1[[#This Row],[cycles]])*0.07</f>
        <v>24.593333333333334</v>
      </c>
      <c r="Y211">
        <f>(Table1[[#This Row],[orig_macs]]/Table1[[#This Row],[cycles]])*0.07</f>
        <v>66.485797101449279</v>
      </c>
      <c r="Z211">
        <f>(Table1[[#This Row],[Dense-Equivalent Throughput (GOPS)]] / IF(Table1[[#This Row],[config]]=0,144781,7618)) * 1000</f>
        <v>0.45921631361469584</v>
      </c>
      <c r="AA211">
        <f>(Table1[[#This Row],[Dense-Equivalent Throughput (GOPS)]] / 654.74 )/ IF(Table1[[#This Row],[config]]=0, 42381, 7618) * 10^9</f>
        <v>2396.0109911820191</v>
      </c>
      <c r="AB211">
        <f>IF(Table1[[#This Row],[config]]=0, 2860, 2210) * (Table1[[#This Row],[cycles]] / 70) / 1000</f>
        <v>2.8191428571428574</v>
      </c>
    </row>
    <row r="212" spans="1:28" x14ac:dyDescent="0.25">
      <c r="A212" t="s">
        <v>20</v>
      </c>
      <c r="B212" t="s">
        <v>24</v>
      </c>
      <c r="C212">
        <v>3</v>
      </c>
      <c r="D212">
        <v>43</v>
      </c>
      <c r="E212">
        <v>32</v>
      </c>
      <c r="F212">
        <v>32</v>
      </c>
      <c r="G212">
        <v>32</v>
      </c>
      <c r="H212">
        <v>32</v>
      </c>
      <c r="I212">
        <v>18</v>
      </c>
      <c r="J212">
        <v>28</v>
      </c>
      <c r="K212">
        <v>0</v>
      </c>
      <c r="L212">
        <v>32</v>
      </c>
      <c r="M212">
        <v>0.31640000000000001</v>
      </c>
      <c r="N212">
        <v>65536</v>
      </c>
      <c r="O212">
        <v>32256</v>
      </c>
      <c r="P212">
        <v>0.50780000000000003</v>
      </c>
      <c r="Q212">
        <v>76</v>
      </c>
      <c r="R212">
        <v>157.4</v>
      </c>
      <c r="S212" t="b">
        <v>1</v>
      </c>
      <c r="T212">
        <v>1.085714286</v>
      </c>
      <c r="U212">
        <v>210</v>
      </c>
      <c r="V212">
        <f>Table1[[#This Row],[orig_m]]+Table1[[#This Row],[orig_n]]+Table1[[#This Row],[orig_k]]-2</f>
        <v>94</v>
      </c>
      <c r="W212">
        <f>Table1[[#This Row],[Dense Baseline]]-Table1[[#This Row],[cycles]]</f>
        <v>18</v>
      </c>
      <c r="X212">
        <f>(Table1[[#This Row],[eff_macs]]/Table1[[#This Row],[cycles]])*0.07</f>
        <v>29.709473684210529</v>
      </c>
      <c r="Y212">
        <f>(Table1[[#This Row],[orig_macs]]/Table1[[#This Row],[cycles]])*0.07</f>
        <v>60.3621052631579</v>
      </c>
      <c r="Z212">
        <f>(Table1[[#This Row],[Dense-Equivalent Throughput (GOPS)]] / IF(Table1[[#This Row],[config]]=0,144781,7618)) * 1000</f>
        <v>0.41692007420281596</v>
      </c>
      <c r="AA212">
        <f>(Table1[[#This Row],[Dense-Equivalent Throughput (GOPS)]] / 654.74 )/ IF(Table1[[#This Row],[config]]=0, 42381, 7618) * 10^9</f>
        <v>2175.325768309991</v>
      </c>
      <c r="AB212">
        <f>IF(Table1[[#This Row],[config]]=0, 2860, 2210) * (Table1[[#This Row],[cycles]] / 70) / 1000</f>
        <v>3.105142857142857</v>
      </c>
    </row>
    <row r="213" spans="1:28" x14ac:dyDescent="0.25">
      <c r="A213" t="s">
        <v>20</v>
      </c>
      <c r="B213" t="s">
        <v>24</v>
      </c>
      <c r="C213">
        <v>3</v>
      </c>
      <c r="D213">
        <v>44</v>
      </c>
      <c r="E213">
        <v>32</v>
      </c>
      <c r="F213">
        <v>32</v>
      </c>
      <c r="G213">
        <v>32</v>
      </c>
      <c r="H213">
        <v>32</v>
      </c>
      <c r="I213">
        <v>18</v>
      </c>
      <c r="J213">
        <v>28</v>
      </c>
      <c r="K213">
        <v>0</v>
      </c>
      <c r="L213">
        <v>32</v>
      </c>
      <c r="M213">
        <v>0.31640000000000001</v>
      </c>
      <c r="N213">
        <v>65536</v>
      </c>
      <c r="O213">
        <v>32256</v>
      </c>
      <c r="P213">
        <v>0.50780000000000003</v>
      </c>
      <c r="Q213">
        <v>76</v>
      </c>
      <c r="R213">
        <v>48.3</v>
      </c>
      <c r="S213" t="b">
        <v>1</v>
      </c>
      <c r="T213">
        <v>1.085714286</v>
      </c>
      <c r="U213">
        <v>211</v>
      </c>
      <c r="V213">
        <f>Table1[[#This Row],[orig_m]]+Table1[[#This Row],[orig_n]]+Table1[[#This Row],[orig_k]]-2</f>
        <v>94</v>
      </c>
      <c r="W213">
        <f>Table1[[#This Row],[Dense Baseline]]-Table1[[#This Row],[cycles]]</f>
        <v>18</v>
      </c>
      <c r="X213">
        <f>(Table1[[#This Row],[eff_macs]]/Table1[[#This Row],[cycles]])*0.07</f>
        <v>29.709473684210529</v>
      </c>
      <c r="Y213">
        <f>(Table1[[#This Row],[orig_macs]]/Table1[[#This Row],[cycles]])*0.07</f>
        <v>60.3621052631579</v>
      </c>
      <c r="Z213">
        <f>(Table1[[#This Row],[Dense-Equivalent Throughput (GOPS)]] / IF(Table1[[#This Row],[config]]=0,144781,7618)) * 1000</f>
        <v>0.41692007420281596</v>
      </c>
      <c r="AA213">
        <f>(Table1[[#This Row],[Dense-Equivalent Throughput (GOPS)]] / 654.74 )/ IF(Table1[[#This Row],[config]]=0, 42381, 7618) * 10^9</f>
        <v>2175.325768309991</v>
      </c>
      <c r="AB213">
        <f>IF(Table1[[#This Row],[config]]=0, 2860, 2210) * (Table1[[#This Row],[cycles]] / 70) / 1000</f>
        <v>3.105142857142857</v>
      </c>
    </row>
    <row r="214" spans="1:28" x14ac:dyDescent="0.25">
      <c r="A214" t="s">
        <v>20</v>
      </c>
      <c r="B214" t="s">
        <v>24</v>
      </c>
      <c r="C214">
        <v>3</v>
      </c>
      <c r="D214">
        <v>45</v>
      </c>
      <c r="E214">
        <v>32</v>
      </c>
      <c r="F214">
        <v>32</v>
      </c>
      <c r="G214">
        <v>32</v>
      </c>
      <c r="H214">
        <v>32</v>
      </c>
      <c r="I214">
        <v>22</v>
      </c>
      <c r="J214">
        <v>28</v>
      </c>
      <c r="K214">
        <v>0</v>
      </c>
      <c r="L214">
        <v>32</v>
      </c>
      <c r="M214">
        <v>0.26169999999999999</v>
      </c>
      <c r="N214">
        <v>65536</v>
      </c>
      <c r="O214">
        <v>39424</v>
      </c>
      <c r="P214">
        <v>0.39839999999999998</v>
      </c>
      <c r="Q214">
        <v>80</v>
      </c>
      <c r="R214">
        <v>49.7</v>
      </c>
      <c r="S214" t="b">
        <v>1</v>
      </c>
      <c r="T214">
        <v>1.1428571430000001</v>
      </c>
      <c r="U214">
        <v>212</v>
      </c>
      <c r="V214">
        <f>Table1[[#This Row],[orig_m]]+Table1[[#This Row],[orig_n]]+Table1[[#This Row],[orig_k]]-2</f>
        <v>94</v>
      </c>
      <c r="W214">
        <f>Table1[[#This Row],[Dense Baseline]]-Table1[[#This Row],[cycles]]</f>
        <v>14</v>
      </c>
      <c r="X214">
        <f>(Table1[[#This Row],[eff_macs]]/Table1[[#This Row],[cycles]])*0.07</f>
        <v>34.496000000000002</v>
      </c>
      <c r="Y214">
        <f>(Table1[[#This Row],[orig_macs]]/Table1[[#This Row],[cycles]])*0.07</f>
        <v>57.344000000000008</v>
      </c>
      <c r="Z214">
        <f>(Table1[[#This Row],[Dense-Equivalent Throughput (GOPS)]] / IF(Table1[[#This Row],[config]]=0,144781,7618)) * 1000</f>
        <v>0.39607407049267518</v>
      </c>
      <c r="AA214">
        <f>(Table1[[#This Row],[Dense-Equivalent Throughput (GOPS)]] / 654.74 )/ IF(Table1[[#This Row],[config]]=0, 42381, 7618) * 10^9</f>
        <v>2066.5594798944917</v>
      </c>
      <c r="AB214">
        <f>IF(Table1[[#This Row],[config]]=0, 2860, 2210) * (Table1[[#This Row],[cycles]] / 70) / 1000</f>
        <v>3.2685714285714282</v>
      </c>
    </row>
    <row r="215" spans="1:28" x14ac:dyDescent="0.25">
      <c r="A215" t="s">
        <v>20</v>
      </c>
      <c r="B215" t="s">
        <v>24</v>
      </c>
      <c r="C215">
        <v>3</v>
      </c>
      <c r="D215">
        <v>46</v>
      </c>
      <c r="E215">
        <v>32</v>
      </c>
      <c r="F215">
        <v>32</v>
      </c>
      <c r="G215">
        <v>32</v>
      </c>
      <c r="H215">
        <v>32</v>
      </c>
      <c r="I215">
        <v>13</v>
      </c>
      <c r="J215">
        <v>28</v>
      </c>
      <c r="K215">
        <v>0</v>
      </c>
      <c r="L215">
        <v>32</v>
      </c>
      <c r="M215">
        <v>0.38479999999999998</v>
      </c>
      <c r="N215">
        <v>65536</v>
      </c>
      <c r="O215">
        <v>23296</v>
      </c>
      <c r="P215">
        <v>0.64449999999999996</v>
      </c>
      <c r="Q215">
        <v>71</v>
      </c>
      <c r="R215">
        <v>54.4</v>
      </c>
      <c r="S215" t="b">
        <v>1</v>
      </c>
      <c r="T215">
        <v>1.0142857139999999</v>
      </c>
      <c r="U215">
        <v>213</v>
      </c>
      <c r="V215">
        <f>Table1[[#This Row],[orig_m]]+Table1[[#This Row],[orig_n]]+Table1[[#This Row],[orig_k]]-2</f>
        <v>94</v>
      </c>
      <c r="W215">
        <f>Table1[[#This Row],[Dense Baseline]]-Table1[[#This Row],[cycles]]</f>
        <v>23</v>
      </c>
      <c r="X215">
        <f>(Table1[[#This Row],[eff_macs]]/Table1[[#This Row],[cycles]])*0.07</f>
        <v>22.967887323943664</v>
      </c>
      <c r="Y215">
        <f>(Table1[[#This Row],[orig_macs]]/Table1[[#This Row],[cycles]])*0.07</f>
        <v>64.612957746478884</v>
      </c>
      <c r="Z215">
        <f>(Table1[[#This Row],[Dense-Equivalent Throughput (GOPS)]] / IF(Table1[[#This Row],[config]]=0,144781,7618)) * 1000</f>
        <v>0.4462806428086481</v>
      </c>
      <c r="AA215">
        <f>(Table1[[#This Row],[Dense-Equivalent Throughput (GOPS)]] / 654.74 )/ IF(Table1[[#This Row],[config]]=0, 42381, 7618) * 10^9</f>
        <v>2328.5177238247798</v>
      </c>
      <c r="AB215">
        <f>IF(Table1[[#This Row],[config]]=0, 2860, 2210) * (Table1[[#This Row],[cycles]] / 70) / 1000</f>
        <v>2.9008571428571428</v>
      </c>
    </row>
    <row r="216" spans="1:28" x14ac:dyDescent="0.25">
      <c r="A216" t="s">
        <v>20</v>
      </c>
      <c r="B216" t="s">
        <v>24</v>
      </c>
      <c r="C216">
        <v>3</v>
      </c>
      <c r="D216">
        <v>47</v>
      </c>
      <c r="E216">
        <v>32</v>
      </c>
      <c r="F216">
        <v>32</v>
      </c>
      <c r="G216">
        <v>32</v>
      </c>
      <c r="H216">
        <v>32</v>
      </c>
      <c r="I216">
        <v>18</v>
      </c>
      <c r="J216">
        <v>28</v>
      </c>
      <c r="K216">
        <v>0</v>
      </c>
      <c r="L216">
        <v>32</v>
      </c>
      <c r="M216">
        <v>0.31640000000000001</v>
      </c>
      <c r="N216">
        <v>65536</v>
      </c>
      <c r="O216">
        <v>32256</v>
      </c>
      <c r="P216">
        <v>0.50780000000000003</v>
      </c>
      <c r="Q216">
        <v>76</v>
      </c>
      <c r="R216">
        <v>46</v>
      </c>
      <c r="S216" t="b">
        <v>1</v>
      </c>
      <c r="T216">
        <v>1.085714286</v>
      </c>
      <c r="U216">
        <v>214</v>
      </c>
      <c r="V216">
        <f>Table1[[#This Row],[orig_m]]+Table1[[#This Row],[orig_n]]+Table1[[#This Row],[orig_k]]-2</f>
        <v>94</v>
      </c>
      <c r="W216">
        <f>Table1[[#This Row],[Dense Baseline]]-Table1[[#This Row],[cycles]]</f>
        <v>18</v>
      </c>
      <c r="X216">
        <f>(Table1[[#This Row],[eff_macs]]/Table1[[#This Row],[cycles]])*0.07</f>
        <v>29.709473684210529</v>
      </c>
      <c r="Y216">
        <f>(Table1[[#This Row],[orig_macs]]/Table1[[#This Row],[cycles]])*0.07</f>
        <v>60.3621052631579</v>
      </c>
      <c r="Z216">
        <f>(Table1[[#This Row],[Dense-Equivalent Throughput (GOPS)]] / IF(Table1[[#This Row],[config]]=0,144781,7618)) * 1000</f>
        <v>0.41692007420281596</v>
      </c>
      <c r="AA216">
        <f>(Table1[[#This Row],[Dense-Equivalent Throughput (GOPS)]] / 654.74 )/ IF(Table1[[#This Row],[config]]=0, 42381, 7618) * 10^9</f>
        <v>2175.325768309991</v>
      </c>
      <c r="AB216">
        <f>IF(Table1[[#This Row],[config]]=0, 2860, 2210) * (Table1[[#This Row],[cycles]] / 70) / 1000</f>
        <v>3.105142857142857</v>
      </c>
    </row>
    <row r="217" spans="1:28" x14ac:dyDescent="0.25">
      <c r="A217" t="s">
        <v>20</v>
      </c>
      <c r="B217" t="s">
        <v>24</v>
      </c>
      <c r="C217">
        <v>3</v>
      </c>
      <c r="D217">
        <v>48</v>
      </c>
      <c r="E217">
        <v>32</v>
      </c>
      <c r="F217">
        <v>32</v>
      </c>
      <c r="G217">
        <v>32</v>
      </c>
      <c r="H217">
        <v>32</v>
      </c>
      <c r="I217">
        <v>17</v>
      </c>
      <c r="J217">
        <v>28</v>
      </c>
      <c r="K217">
        <v>0</v>
      </c>
      <c r="L217">
        <v>32</v>
      </c>
      <c r="M217">
        <v>0.3301</v>
      </c>
      <c r="N217">
        <v>65536</v>
      </c>
      <c r="O217">
        <v>30464</v>
      </c>
      <c r="P217">
        <v>0.53520000000000001</v>
      </c>
      <c r="Q217">
        <v>75</v>
      </c>
      <c r="R217">
        <v>40</v>
      </c>
      <c r="S217" t="b">
        <v>1</v>
      </c>
      <c r="T217">
        <v>1.071428571</v>
      </c>
      <c r="U217">
        <v>215</v>
      </c>
      <c r="V217">
        <f>Table1[[#This Row],[orig_m]]+Table1[[#This Row],[orig_n]]+Table1[[#This Row],[orig_k]]-2</f>
        <v>94</v>
      </c>
      <c r="W217">
        <f>Table1[[#This Row],[Dense Baseline]]-Table1[[#This Row],[cycles]]</f>
        <v>19</v>
      </c>
      <c r="X217">
        <f>(Table1[[#This Row],[eff_macs]]/Table1[[#This Row],[cycles]])*0.07</f>
        <v>28.433066666666669</v>
      </c>
      <c r="Y217">
        <f>(Table1[[#This Row],[orig_macs]]/Table1[[#This Row],[cycles]])*0.07</f>
        <v>61.16693333333334</v>
      </c>
      <c r="Z217">
        <f>(Table1[[#This Row],[Dense-Equivalent Throughput (GOPS)]] / IF(Table1[[#This Row],[config]]=0,144781,7618)) * 1000</f>
        <v>0.42247900852552023</v>
      </c>
      <c r="AA217">
        <f>(Table1[[#This Row],[Dense-Equivalent Throughput (GOPS)]] / 654.74 )/ IF(Table1[[#This Row],[config]]=0, 42381, 7618) * 10^9</f>
        <v>2204.3301118874574</v>
      </c>
      <c r="AB217">
        <f>IF(Table1[[#This Row],[config]]=0, 2860, 2210) * (Table1[[#This Row],[cycles]] / 70) / 1000</f>
        <v>3.0642857142857141</v>
      </c>
    </row>
    <row r="218" spans="1:28" x14ac:dyDescent="0.25">
      <c r="A218" t="s">
        <v>20</v>
      </c>
      <c r="B218" t="s">
        <v>24</v>
      </c>
      <c r="C218">
        <v>3</v>
      </c>
      <c r="D218">
        <v>49</v>
      </c>
      <c r="E218">
        <v>32</v>
      </c>
      <c r="F218">
        <v>32</v>
      </c>
      <c r="G218">
        <v>32</v>
      </c>
      <c r="H218">
        <v>32</v>
      </c>
      <c r="I218">
        <v>18</v>
      </c>
      <c r="J218">
        <v>32</v>
      </c>
      <c r="K218">
        <v>0</v>
      </c>
      <c r="L218">
        <v>32</v>
      </c>
      <c r="M218">
        <v>0.21879999999999999</v>
      </c>
      <c r="N218">
        <v>65536</v>
      </c>
      <c r="O218">
        <v>36864</v>
      </c>
      <c r="P218">
        <v>0.4375</v>
      </c>
      <c r="Q218">
        <v>80</v>
      </c>
      <c r="R218">
        <v>44.7</v>
      </c>
      <c r="S218" t="b">
        <v>1</v>
      </c>
      <c r="T218">
        <v>1.1428571430000001</v>
      </c>
      <c r="U218">
        <v>216</v>
      </c>
      <c r="V218">
        <f>Table1[[#This Row],[orig_m]]+Table1[[#This Row],[orig_n]]+Table1[[#This Row],[orig_k]]-2</f>
        <v>94</v>
      </c>
      <c r="W218">
        <f>Table1[[#This Row],[Dense Baseline]]-Table1[[#This Row],[cycles]]</f>
        <v>14</v>
      </c>
      <c r="X218">
        <f>(Table1[[#This Row],[eff_macs]]/Table1[[#This Row],[cycles]])*0.07</f>
        <v>32.256000000000007</v>
      </c>
      <c r="Y218">
        <f>(Table1[[#This Row],[orig_macs]]/Table1[[#This Row],[cycles]])*0.07</f>
        <v>57.344000000000008</v>
      </c>
      <c r="Z218">
        <f>(Table1[[#This Row],[Dense-Equivalent Throughput (GOPS)]] / IF(Table1[[#This Row],[config]]=0,144781,7618)) * 1000</f>
        <v>0.39607407049267518</v>
      </c>
      <c r="AA218">
        <f>(Table1[[#This Row],[Dense-Equivalent Throughput (GOPS)]] / 654.74 )/ IF(Table1[[#This Row],[config]]=0, 42381, 7618) * 10^9</f>
        <v>2066.5594798944917</v>
      </c>
      <c r="AB218">
        <f>IF(Table1[[#This Row],[config]]=0, 2860, 2210) * (Table1[[#This Row],[cycles]] / 70) / 1000</f>
        <v>3.2685714285714282</v>
      </c>
    </row>
    <row r="219" spans="1:28" x14ac:dyDescent="0.25">
      <c r="A219" t="s">
        <v>20</v>
      </c>
      <c r="B219" t="s">
        <v>24</v>
      </c>
      <c r="C219">
        <v>3</v>
      </c>
      <c r="D219">
        <v>50</v>
      </c>
      <c r="E219">
        <v>32</v>
      </c>
      <c r="F219">
        <v>32</v>
      </c>
      <c r="G219">
        <v>32</v>
      </c>
      <c r="H219">
        <v>32</v>
      </c>
      <c r="I219">
        <v>18</v>
      </c>
      <c r="J219">
        <v>32</v>
      </c>
      <c r="K219">
        <v>0</v>
      </c>
      <c r="L219">
        <v>32</v>
      </c>
      <c r="M219">
        <v>0.21879999999999999</v>
      </c>
      <c r="N219">
        <v>65536</v>
      </c>
      <c r="O219">
        <v>36864</v>
      </c>
      <c r="P219">
        <v>0.4375</v>
      </c>
      <c r="Q219">
        <v>80</v>
      </c>
      <c r="R219">
        <v>45.4</v>
      </c>
      <c r="S219" t="b">
        <v>1</v>
      </c>
      <c r="T219">
        <v>1.1428571430000001</v>
      </c>
      <c r="U219">
        <v>217</v>
      </c>
      <c r="V219">
        <f>Table1[[#This Row],[orig_m]]+Table1[[#This Row],[orig_n]]+Table1[[#This Row],[orig_k]]-2</f>
        <v>94</v>
      </c>
      <c r="W219">
        <f>Table1[[#This Row],[Dense Baseline]]-Table1[[#This Row],[cycles]]</f>
        <v>14</v>
      </c>
      <c r="X219">
        <f>(Table1[[#This Row],[eff_macs]]/Table1[[#This Row],[cycles]])*0.07</f>
        <v>32.256000000000007</v>
      </c>
      <c r="Y219">
        <f>(Table1[[#This Row],[orig_macs]]/Table1[[#This Row],[cycles]])*0.07</f>
        <v>57.344000000000008</v>
      </c>
      <c r="Z219">
        <f>(Table1[[#This Row],[Dense-Equivalent Throughput (GOPS)]] / IF(Table1[[#This Row],[config]]=0,144781,7618)) * 1000</f>
        <v>0.39607407049267518</v>
      </c>
      <c r="AA219">
        <f>(Table1[[#This Row],[Dense-Equivalent Throughput (GOPS)]] / 654.74 )/ IF(Table1[[#This Row],[config]]=0, 42381, 7618) * 10^9</f>
        <v>2066.5594798944917</v>
      </c>
      <c r="AB219">
        <f>IF(Table1[[#This Row],[config]]=0, 2860, 2210) * (Table1[[#This Row],[cycles]] / 70) / 1000</f>
        <v>3.2685714285714282</v>
      </c>
    </row>
    <row r="220" spans="1:28" x14ac:dyDescent="0.25">
      <c r="A220" t="s">
        <v>20</v>
      </c>
      <c r="B220" t="s">
        <v>24</v>
      </c>
      <c r="C220">
        <v>3</v>
      </c>
      <c r="D220">
        <v>51</v>
      </c>
      <c r="E220">
        <v>32</v>
      </c>
      <c r="F220">
        <v>32</v>
      </c>
      <c r="G220">
        <v>32</v>
      </c>
      <c r="H220">
        <v>32</v>
      </c>
      <c r="I220">
        <v>22</v>
      </c>
      <c r="J220">
        <v>32</v>
      </c>
      <c r="K220">
        <v>0</v>
      </c>
      <c r="L220">
        <v>32</v>
      </c>
      <c r="M220">
        <v>0.15620000000000001</v>
      </c>
      <c r="N220">
        <v>65536</v>
      </c>
      <c r="O220">
        <v>45056</v>
      </c>
      <c r="P220">
        <v>0.3125</v>
      </c>
      <c r="Q220">
        <v>84</v>
      </c>
      <c r="R220">
        <v>48.2</v>
      </c>
      <c r="S220" t="b">
        <v>1</v>
      </c>
      <c r="T220">
        <v>1.2</v>
      </c>
      <c r="U220">
        <v>218</v>
      </c>
      <c r="V220">
        <f>Table1[[#This Row],[orig_m]]+Table1[[#This Row],[orig_n]]+Table1[[#This Row],[orig_k]]-2</f>
        <v>94</v>
      </c>
      <c r="W220">
        <f>Table1[[#This Row],[Dense Baseline]]-Table1[[#This Row],[cycles]]</f>
        <v>10</v>
      </c>
      <c r="X220">
        <f>(Table1[[#This Row],[eff_macs]]/Table1[[#This Row],[cycles]])*0.07</f>
        <v>37.546666666666674</v>
      </c>
      <c r="Y220">
        <f>(Table1[[#This Row],[orig_macs]]/Table1[[#This Row],[cycles]])*0.07</f>
        <v>54.613333333333337</v>
      </c>
      <c r="Z220">
        <f>(Table1[[#This Row],[Dense-Equivalent Throughput (GOPS)]] / IF(Table1[[#This Row],[config]]=0,144781,7618)) * 1000</f>
        <v>0.37721340046921442</v>
      </c>
      <c r="AA220">
        <f>(Table1[[#This Row],[Dense-Equivalent Throughput (GOPS)]] / 654.74 )/ IF(Table1[[#This Row],[config]]=0, 42381, 7618) * 10^9</f>
        <v>1968.1518856138016</v>
      </c>
      <c r="AB220">
        <f>IF(Table1[[#This Row],[config]]=0, 2860, 2210) * (Table1[[#This Row],[cycles]] / 70) / 1000</f>
        <v>3.4319999999999999</v>
      </c>
    </row>
    <row r="221" spans="1:28" x14ac:dyDescent="0.25">
      <c r="A221" t="s">
        <v>20</v>
      </c>
      <c r="B221" t="s">
        <v>24</v>
      </c>
      <c r="C221">
        <v>3</v>
      </c>
      <c r="D221">
        <v>52</v>
      </c>
      <c r="E221">
        <v>32</v>
      </c>
      <c r="F221">
        <v>32</v>
      </c>
      <c r="G221">
        <v>32</v>
      </c>
      <c r="H221">
        <v>32</v>
      </c>
      <c r="I221">
        <v>13</v>
      </c>
      <c r="J221">
        <v>32</v>
      </c>
      <c r="K221">
        <v>0</v>
      </c>
      <c r="L221">
        <v>32</v>
      </c>
      <c r="M221">
        <v>0.2969</v>
      </c>
      <c r="N221">
        <v>65536</v>
      </c>
      <c r="O221">
        <v>26624</v>
      </c>
      <c r="P221">
        <v>0.59379999999999999</v>
      </c>
      <c r="Q221">
        <v>75</v>
      </c>
      <c r="R221">
        <v>46.3</v>
      </c>
      <c r="S221" t="b">
        <v>1</v>
      </c>
      <c r="T221">
        <v>1.071428571</v>
      </c>
      <c r="U221">
        <v>219</v>
      </c>
      <c r="V221">
        <f>Table1[[#This Row],[orig_m]]+Table1[[#This Row],[orig_n]]+Table1[[#This Row],[orig_k]]-2</f>
        <v>94</v>
      </c>
      <c r="W221">
        <f>Table1[[#This Row],[Dense Baseline]]-Table1[[#This Row],[cycles]]</f>
        <v>19</v>
      </c>
      <c r="X221">
        <f>(Table1[[#This Row],[eff_macs]]/Table1[[#This Row],[cycles]])*0.07</f>
        <v>24.849066666666669</v>
      </c>
      <c r="Y221">
        <f>(Table1[[#This Row],[orig_macs]]/Table1[[#This Row],[cycles]])*0.07</f>
        <v>61.16693333333334</v>
      </c>
      <c r="Z221">
        <f>(Table1[[#This Row],[Dense-Equivalent Throughput (GOPS)]] / IF(Table1[[#This Row],[config]]=0,144781,7618)) * 1000</f>
        <v>0.42247900852552023</v>
      </c>
      <c r="AA221">
        <f>(Table1[[#This Row],[Dense-Equivalent Throughput (GOPS)]] / 654.74 )/ IF(Table1[[#This Row],[config]]=0, 42381, 7618) * 10^9</f>
        <v>2204.3301118874574</v>
      </c>
      <c r="AB221">
        <f>IF(Table1[[#This Row],[config]]=0, 2860, 2210) * (Table1[[#This Row],[cycles]] / 70) / 1000</f>
        <v>3.0642857142857141</v>
      </c>
    </row>
    <row r="222" spans="1:28" x14ac:dyDescent="0.25">
      <c r="A222" t="s">
        <v>20</v>
      </c>
      <c r="B222" t="s">
        <v>24</v>
      </c>
      <c r="C222">
        <v>3</v>
      </c>
      <c r="D222">
        <v>53</v>
      </c>
      <c r="E222">
        <v>32</v>
      </c>
      <c r="F222">
        <v>32</v>
      </c>
      <c r="G222">
        <v>32</v>
      </c>
      <c r="H222">
        <v>32</v>
      </c>
      <c r="I222">
        <v>18</v>
      </c>
      <c r="J222">
        <v>32</v>
      </c>
      <c r="K222">
        <v>0</v>
      </c>
      <c r="L222">
        <v>32</v>
      </c>
      <c r="M222">
        <v>0.21879999999999999</v>
      </c>
      <c r="N222">
        <v>65536</v>
      </c>
      <c r="O222">
        <v>36864</v>
      </c>
      <c r="P222">
        <v>0.4375</v>
      </c>
      <c r="Q222">
        <v>80</v>
      </c>
      <c r="R222">
        <v>48.6</v>
      </c>
      <c r="S222" t="b">
        <v>1</v>
      </c>
      <c r="T222">
        <v>1.1428571430000001</v>
      </c>
      <c r="U222">
        <v>220</v>
      </c>
      <c r="V222">
        <f>Table1[[#This Row],[orig_m]]+Table1[[#This Row],[orig_n]]+Table1[[#This Row],[orig_k]]-2</f>
        <v>94</v>
      </c>
      <c r="W222">
        <f>Table1[[#This Row],[Dense Baseline]]-Table1[[#This Row],[cycles]]</f>
        <v>14</v>
      </c>
      <c r="X222">
        <f>(Table1[[#This Row],[eff_macs]]/Table1[[#This Row],[cycles]])*0.07</f>
        <v>32.256000000000007</v>
      </c>
      <c r="Y222">
        <f>(Table1[[#This Row],[orig_macs]]/Table1[[#This Row],[cycles]])*0.07</f>
        <v>57.344000000000008</v>
      </c>
      <c r="Z222">
        <f>(Table1[[#This Row],[Dense-Equivalent Throughput (GOPS)]] / IF(Table1[[#This Row],[config]]=0,144781,7618)) * 1000</f>
        <v>0.39607407049267518</v>
      </c>
      <c r="AA222">
        <f>(Table1[[#This Row],[Dense-Equivalent Throughput (GOPS)]] / 654.74 )/ IF(Table1[[#This Row],[config]]=0, 42381, 7618) * 10^9</f>
        <v>2066.5594798944917</v>
      </c>
      <c r="AB222">
        <f>IF(Table1[[#This Row],[config]]=0, 2860, 2210) * (Table1[[#This Row],[cycles]] / 70) / 1000</f>
        <v>3.2685714285714282</v>
      </c>
    </row>
    <row r="223" spans="1:28" x14ac:dyDescent="0.25">
      <c r="A223" t="s">
        <v>20</v>
      </c>
      <c r="B223" t="s">
        <v>24</v>
      </c>
      <c r="C223">
        <v>3</v>
      </c>
      <c r="D223">
        <v>54</v>
      </c>
      <c r="E223">
        <v>32</v>
      </c>
      <c r="F223">
        <v>32</v>
      </c>
      <c r="G223">
        <v>32</v>
      </c>
      <c r="H223">
        <v>32</v>
      </c>
      <c r="I223">
        <v>17</v>
      </c>
      <c r="J223">
        <v>32</v>
      </c>
      <c r="K223">
        <v>0</v>
      </c>
      <c r="L223">
        <v>32</v>
      </c>
      <c r="M223">
        <v>0.2344</v>
      </c>
      <c r="N223">
        <v>65536</v>
      </c>
      <c r="O223">
        <v>34816</v>
      </c>
      <c r="P223">
        <v>0.46879999999999999</v>
      </c>
      <c r="Q223">
        <v>79</v>
      </c>
      <c r="R223">
        <v>50</v>
      </c>
      <c r="S223" t="b">
        <v>1</v>
      </c>
      <c r="T223">
        <v>1.128571429</v>
      </c>
      <c r="U223">
        <v>221</v>
      </c>
      <c r="V223">
        <f>Table1[[#This Row],[orig_m]]+Table1[[#This Row],[orig_n]]+Table1[[#This Row],[orig_k]]-2</f>
        <v>94</v>
      </c>
      <c r="W223">
        <f>Table1[[#This Row],[Dense Baseline]]-Table1[[#This Row],[cycles]]</f>
        <v>15</v>
      </c>
      <c r="X223">
        <f>(Table1[[#This Row],[eff_macs]]/Table1[[#This Row],[cycles]])*0.07</f>
        <v>30.849620253164563</v>
      </c>
      <c r="Y223">
        <f>(Table1[[#This Row],[orig_macs]]/Table1[[#This Row],[cycles]])*0.07</f>
        <v>58.069873417721524</v>
      </c>
      <c r="Z223">
        <f>(Table1[[#This Row],[Dense-Equivalent Throughput (GOPS)]] / IF(Table1[[#This Row],[config]]=0,144781,7618)) * 1000</f>
        <v>0.4010876663216964</v>
      </c>
      <c r="AA223">
        <f>(Table1[[#This Row],[Dense-Equivalent Throughput (GOPS)]] / 654.74 )/ IF(Table1[[#This Row],[config]]=0, 42381, 7618) * 10^9</f>
        <v>2092.7184606526494</v>
      </c>
      <c r="AB223">
        <f>IF(Table1[[#This Row],[config]]=0, 2860, 2210) * (Table1[[#This Row],[cycles]] / 70) / 1000</f>
        <v>3.2277142857142858</v>
      </c>
    </row>
    <row r="224" spans="1:28" x14ac:dyDescent="0.25">
      <c r="A224" t="s">
        <v>20</v>
      </c>
      <c r="B224" t="s">
        <v>24</v>
      </c>
      <c r="C224">
        <v>3</v>
      </c>
      <c r="D224">
        <v>55</v>
      </c>
      <c r="E224">
        <v>32</v>
      </c>
      <c r="F224">
        <v>32</v>
      </c>
      <c r="G224">
        <v>32</v>
      </c>
      <c r="H224">
        <v>28</v>
      </c>
      <c r="I224">
        <v>18</v>
      </c>
      <c r="J224">
        <v>27</v>
      </c>
      <c r="K224">
        <v>0</v>
      </c>
      <c r="L224">
        <v>32</v>
      </c>
      <c r="M224">
        <v>0.39360000000000001</v>
      </c>
      <c r="N224">
        <v>65536</v>
      </c>
      <c r="O224">
        <v>27216</v>
      </c>
      <c r="P224">
        <v>0.5847</v>
      </c>
      <c r="Q224">
        <v>71</v>
      </c>
      <c r="R224">
        <v>83.3</v>
      </c>
      <c r="S224" t="b">
        <v>1</v>
      </c>
      <c r="T224">
        <v>1.0142857139999999</v>
      </c>
      <c r="U224">
        <v>222</v>
      </c>
      <c r="V224">
        <f>Table1[[#This Row],[orig_m]]+Table1[[#This Row],[orig_n]]+Table1[[#This Row],[orig_k]]-2</f>
        <v>94</v>
      </c>
      <c r="W224">
        <f>Table1[[#This Row],[Dense Baseline]]-Table1[[#This Row],[cycles]]</f>
        <v>23</v>
      </c>
      <c r="X224">
        <f>(Table1[[#This Row],[eff_macs]]/Table1[[#This Row],[cycles]])*0.07</f>
        <v>26.83267605633803</v>
      </c>
      <c r="Y224">
        <f>(Table1[[#This Row],[orig_macs]]/Table1[[#This Row],[cycles]])*0.07</f>
        <v>64.612957746478884</v>
      </c>
      <c r="Z224">
        <f>(Table1[[#This Row],[Dense-Equivalent Throughput (GOPS)]] / IF(Table1[[#This Row],[config]]=0,144781,7618)) * 1000</f>
        <v>0.4462806428086481</v>
      </c>
      <c r="AA224">
        <f>(Table1[[#This Row],[Dense-Equivalent Throughput (GOPS)]] / 654.74 )/ IF(Table1[[#This Row],[config]]=0, 42381, 7618) * 10^9</f>
        <v>2328.5177238247798</v>
      </c>
      <c r="AB224">
        <f>IF(Table1[[#This Row],[config]]=0, 2860, 2210) * (Table1[[#This Row],[cycles]] / 70) / 1000</f>
        <v>2.9008571428571428</v>
      </c>
    </row>
    <row r="225" spans="1:28" x14ac:dyDescent="0.25">
      <c r="A225" t="s">
        <v>20</v>
      </c>
      <c r="B225" t="s">
        <v>24</v>
      </c>
      <c r="C225">
        <v>3</v>
      </c>
      <c r="D225">
        <v>56</v>
      </c>
      <c r="E225">
        <v>32</v>
      </c>
      <c r="F225">
        <v>32</v>
      </c>
      <c r="G225">
        <v>32</v>
      </c>
      <c r="H225">
        <v>28</v>
      </c>
      <c r="I225">
        <v>18</v>
      </c>
      <c r="J225">
        <v>27</v>
      </c>
      <c r="K225">
        <v>0</v>
      </c>
      <c r="L225">
        <v>32</v>
      </c>
      <c r="M225">
        <v>0.39360000000000001</v>
      </c>
      <c r="N225">
        <v>65536</v>
      </c>
      <c r="O225">
        <v>27216</v>
      </c>
      <c r="P225">
        <v>0.5847</v>
      </c>
      <c r="Q225">
        <v>71</v>
      </c>
      <c r="R225">
        <v>49.6</v>
      </c>
      <c r="S225" t="b">
        <v>1</v>
      </c>
      <c r="T225">
        <v>1.0142857139999999</v>
      </c>
      <c r="U225">
        <v>223</v>
      </c>
      <c r="V225">
        <f>Table1[[#This Row],[orig_m]]+Table1[[#This Row],[orig_n]]+Table1[[#This Row],[orig_k]]-2</f>
        <v>94</v>
      </c>
      <c r="W225">
        <f>Table1[[#This Row],[Dense Baseline]]-Table1[[#This Row],[cycles]]</f>
        <v>23</v>
      </c>
      <c r="X225">
        <f>(Table1[[#This Row],[eff_macs]]/Table1[[#This Row],[cycles]])*0.07</f>
        <v>26.83267605633803</v>
      </c>
      <c r="Y225">
        <f>(Table1[[#This Row],[orig_macs]]/Table1[[#This Row],[cycles]])*0.07</f>
        <v>64.612957746478884</v>
      </c>
      <c r="Z225">
        <f>(Table1[[#This Row],[Dense-Equivalent Throughput (GOPS)]] / IF(Table1[[#This Row],[config]]=0,144781,7618)) * 1000</f>
        <v>0.4462806428086481</v>
      </c>
      <c r="AA225">
        <f>(Table1[[#This Row],[Dense-Equivalent Throughput (GOPS)]] / 654.74 )/ IF(Table1[[#This Row],[config]]=0, 42381, 7618) * 10^9</f>
        <v>2328.5177238247798</v>
      </c>
      <c r="AB225">
        <f>IF(Table1[[#This Row],[config]]=0, 2860, 2210) * (Table1[[#This Row],[cycles]] / 70) / 1000</f>
        <v>2.9008571428571428</v>
      </c>
    </row>
    <row r="226" spans="1:28" x14ac:dyDescent="0.25">
      <c r="A226" t="s">
        <v>20</v>
      </c>
      <c r="B226" t="s">
        <v>24</v>
      </c>
      <c r="C226">
        <v>3</v>
      </c>
      <c r="D226">
        <v>57</v>
      </c>
      <c r="E226">
        <v>32</v>
      </c>
      <c r="F226">
        <v>32</v>
      </c>
      <c r="G226">
        <v>32</v>
      </c>
      <c r="H226">
        <v>28</v>
      </c>
      <c r="I226">
        <v>22</v>
      </c>
      <c r="J226">
        <v>27</v>
      </c>
      <c r="K226">
        <v>0</v>
      </c>
      <c r="L226">
        <v>32</v>
      </c>
      <c r="M226">
        <v>0.34079999999999999</v>
      </c>
      <c r="N226">
        <v>65536</v>
      </c>
      <c r="O226">
        <v>33264</v>
      </c>
      <c r="P226">
        <v>0.4924</v>
      </c>
      <c r="Q226">
        <v>75</v>
      </c>
      <c r="R226">
        <v>128.19999999999999</v>
      </c>
      <c r="S226" t="b">
        <v>1</v>
      </c>
      <c r="T226">
        <v>1.071428571</v>
      </c>
      <c r="U226">
        <v>224</v>
      </c>
      <c r="V226">
        <f>Table1[[#This Row],[orig_m]]+Table1[[#This Row],[orig_n]]+Table1[[#This Row],[orig_k]]-2</f>
        <v>94</v>
      </c>
      <c r="W226">
        <f>Table1[[#This Row],[Dense Baseline]]-Table1[[#This Row],[cycles]]</f>
        <v>19</v>
      </c>
      <c r="X226">
        <f>(Table1[[#This Row],[eff_macs]]/Table1[[#This Row],[cycles]])*0.07</f>
        <v>31.046400000000002</v>
      </c>
      <c r="Y226">
        <f>(Table1[[#This Row],[orig_macs]]/Table1[[#This Row],[cycles]])*0.07</f>
        <v>61.16693333333334</v>
      </c>
      <c r="Z226">
        <f>(Table1[[#This Row],[Dense-Equivalent Throughput (GOPS)]] / IF(Table1[[#This Row],[config]]=0,144781,7618)) * 1000</f>
        <v>0.42247900852552023</v>
      </c>
      <c r="AA226">
        <f>(Table1[[#This Row],[Dense-Equivalent Throughput (GOPS)]] / 654.74 )/ IF(Table1[[#This Row],[config]]=0, 42381, 7618) * 10^9</f>
        <v>2204.3301118874574</v>
      </c>
      <c r="AB226">
        <f>IF(Table1[[#This Row],[config]]=0, 2860, 2210) * (Table1[[#This Row],[cycles]] / 70) / 1000</f>
        <v>3.0642857142857141</v>
      </c>
    </row>
    <row r="227" spans="1:28" x14ac:dyDescent="0.25">
      <c r="A227" t="s">
        <v>20</v>
      </c>
      <c r="B227" t="s">
        <v>24</v>
      </c>
      <c r="C227">
        <v>3</v>
      </c>
      <c r="D227">
        <v>58</v>
      </c>
      <c r="E227">
        <v>32</v>
      </c>
      <c r="F227">
        <v>32</v>
      </c>
      <c r="G227">
        <v>32</v>
      </c>
      <c r="H227">
        <v>28</v>
      </c>
      <c r="I227">
        <v>13</v>
      </c>
      <c r="J227">
        <v>27</v>
      </c>
      <c r="K227">
        <v>0</v>
      </c>
      <c r="L227">
        <v>32</v>
      </c>
      <c r="M227">
        <v>0.45950000000000002</v>
      </c>
      <c r="N227">
        <v>65536</v>
      </c>
      <c r="O227">
        <v>19656</v>
      </c>
      <c r="P227">
        <v>0.70009999999999994</v>
      </c>
      <c r="Q227">
        <v>66</v>
      </c>
      <c r="R227">
        <v>73.8</v>
      </c>
      <c r="S227" t="b">
        <v>1</v>
      </c>
      <c r="T227">
        <v>0.94285714300000001</v>
      </c>
      <c r="U227">
        <v>225</v>
      </c>
      <c r="V227">
        <f>Table1[[#This Row],[orig_m]]+Table1[[#This Row],[orig_n]]+Table1[[#This Row],[orig_k]]-2</f>
        <v>94</v>
      </c>
      <c r="W227">
        <f>Table1[[#This Row],[Dense Baseline]]-Table1[[#This Row],[cycles]]</f>
        <v>28</v>
      </c>
      <c r="X227">
        <f>(Table1[[#This Row],[eff_macs]]/Table1[[#This Row],[cycles]])*0.07</f>
        <v>20.847272727272728</v>
      </c>
      <c r="Y227">
        <f>(Table1[[#This Row],[orig_macs]]/Table1[[#This Row],[cycles]])*0.07</f>
        <v>69.507878787878795</v>
      </c>
      <c r="Z227">
        <f>(Table1[[#This Row],[Dense-Equivalent Throughput (GOPS)]] / IF(Table1[[#This Row],[config]]=0,144781,7618)) * 1000</f>
        <v>0.48008978241536382</v>
      </c>
      <c r="AA227">
        <f>(Table1[[#This Row],[Dense-Equivalent Throughput (GOPS)]] / 654.74 )/ IF(Table1[[#This Row],[config]]=0, 42381, 7618) * 10^9</f>
        <v>2504.9205816902927</v>
      </c>
      <c r="AB227">
        <f>IF(Table1[[#This Row],[config]]=0, 2860, 2210) * (Table1[[#This Row],[cycles]] / 70) / 1000</f>
        <v>2.6965714285714286</v>
      </c>
    </row>
    <row r="228" spans="1:28" x14ac:dyDescent="0.25">
      <c r="A228" t="s">
        <v>20</v>
      </c>
      <c r="B228" t="s">
        <v>24</v>
      </c>
      <c r="C228">
        <v>3</v>
      </c>
      <c r="D228">
        <v>59</v>
      </c>
      <c r="E228">
        <v>32</v>
      </c>
      <c r="F228">
        <v>32</v>
      </c>
      <c r="G228">
        <v>32</v>
      </c>
      <c r="H228">
        <v>28</v>
      </c>
      <c r="I228">
        <v>18</v>
      </c>
      <c r="J228">
        <v>27</v>
      </c>
      <c r="K228">
        <v>0</v>
      </c>
      <c r="L228">
        <v>32</v>
      </c>
      <c r="M228">
        <v>0.39360000000000001</v>
      </c>
      <c r="N228">
        <v>65536</v>
      </c>
      <c r="O228">
        <v>27216</v>
      </c>
      <c r="P228">
        <v>0.5847</v>
      </c>
      <c r="Q228">
        <v>71</v>
      </c>
      <c r="R228">
        <v>50</v>
      </c>
      <c r="S228" t="b">
        <v>1</v>
      </c>
      <c r="T228">
        <v>1.0142857139999999</v>
      </c>
      <c r="U228">
        <v>226</v>
      </c>
      <c r="V228">
        <f>Table1[[#This Row],[orig_m]]+Table1[[#This Row],[orig_n]]+Table1[[#This Row],[orig_k]]-2</f>
        <v>94</v>
      </c>
      <c r="W228">
        <f>Table1[[#This Row],[Dense Baseline]]-Table1[[#This Row],[cycles]]</f>
        <v>23</v>
      </c>
      <c r="X228">
        <f>(Table1[[#This Row],[eff_macs]]/Table1[[#This Row],[cycles]])*0.07</f>
        <v>26.83267605633803</v>
      </c>
      <c r="Y228">
        <f>(Table1[[#This Row],[orig_macs]]/Table1[[#This Row],[cycles]])*0.07</f>
        <v>64.612957746478884</v>
      </c>
      <c r="Z228">
        <f>(Table1[[#This Row],[Dense-Equivalent Throughput (GOPS)]] / IF(Table1[[#This Row],[config]]=0,144781,7618)) * 1000</f>
        <v>0.4462806428086481</v>
      </c>
      <c r="AA228">
        <f>(Table1[[#This Row],[Dense-Equivalent Throughput (GOPS)]] / 654.74 )/ IF(Table1[[#This Row],[config]]=0, 42381, 7618) * 10^9</f>
        <v>2328.5177238247798</v>
      </c>
      <c r="AB228">
        <f>IF(Table1[[#This Row],[config]]=0, 2860, 2210) * (Table1[[#This Row],[cycles]] / 70) / 1000</f>
        <v>2.9008571428571428</v>
      </c>
    </row>
    <row r="229" spans="1:28" x14ac:dyDescent="0.25">
      <c r="A229" t="s">
        <v>20</v>
      </c>
      <c r="B229" t="s">
        <v>24</v>
      </c>
      <c r="C229">
        <v>3</v>
      </c>
      <c r="D229">
        <v>60</v>
      </c>
      <c r="E229">
        <v>32</v>
      </c>
      <c r="F229">
        <v>32</v>
      </c>
      <c r="G229">
        <v>32</v>
      </c>
      <c r="H229">
        <v>28</v>
      </c>
      <c r="I229">
        <v>17</v>
      </c>
      <c r="J229">
        <v>27</v>
      </c>
      <c r="K229">
        <v>0</v>
      </c>
      <c r="L229">
        <v>32</v>
      </c>
      <c r="M229">
        <v>0.40670000000000001</v>
      </c>
      <c r="N229">
        <v>65536</v>
      </c>
      <c r="O229">
        <v>25704</v>
      </c>
      <c r="P229">
        <v>0.60780000000000001</v>
      </c>
      <c r="Q229">
        <v>70</v>
      </c>
      <c r="R229">
        <v>48</v>
      </c>
      <c r="S229" t="b">
        <v>1</v>
      </c>
      <c r="T229">
        <v>1</v>
      </c>
      <c r="U229">
        <v>227</v>
      </c>
      <c r="V229">
        <f>Table1[[#This Row],[orig_m]]+Table1[[#This Row],[orig_n]]+Table1[[#This Row],[orig_k]]-2</f>
        <v>94</v>
      </c>
      <c r="W229">
        <f>Table1[[#This Row],[Dense Baseline]]-Table1[[#This Row],[cycles]]</f>
        <v>24</v>
      </c>
      <c r="X229">
        <f>(Table1[[#This Row],[eff_macs]]/Table1[[#This Row],[cycles]])*0.07</f>
        <v>25.704000000000001</v>
      </c>
      <c r="Y229">
        <f>(Table1[[#This Row],[orig_macs]]/Table1[[#This Row],[cycles]])*0.07</f>
        <v>65.536000000000001</v>
      </c>
      <c r="Z229">
        <f>(Table1[[#This Row],[Dense-Equivalent Throughput (GOPS)]] / IF(Table1[[#This Row],[config]]=0,144781,7618)) * 1000</f>
        <v>0.45265608056305734</v>
      </c>
      <c r="AA229">
        <f>(Table1[[#This Row],[Dense-Equivalent Throughput (GOPS)]] / 654.74 )/ IF(Table1[[#This Row],[config]]=0, 42381, 7618) * 10^9</f>
        <v>2361.7822627365617</v>
      </c>
      <c r="AB229">
        <f>IF(Table1[[#This Row],[config]]=0, 2860, 2210) * (Table1[[#This Row],[cycles]] / 70) / 1000</f>
        <v>2.86</v>
      </c>
    </row>
    <row r="230" spans="1:28" x14ac:dyDescent="0.25">
      <c r="A230" t="s">
        <v>20</v>
      </c>
      <c r="B230" t="s">
        <v>24</v>
      </c>
      <c r="C230">
        <v>3</v>
      </c>
      <c r="D230">
        <v>61</v>
      </c>
      <c r="E230">
        <v>32</v>
      </c>
      <c r="F230">
        <v>32</v>
      </c>
      <c r="G230">
        <v>32</v>
      </c>
      <c r="H230">
        <v>30</v>
      </c>
      <c r="I230">
        <v>18</v>
      </c>
      <c r="J230">
        <v>20</v>
      </c>
      <c r="K230">
        <v>0</v>
      </c>
      <c r="L230">
        <v>32</v>
      </c>
      <c r="M230">
        <v>0.53120000000000001</v>
      </c>
      <c r="N230">
        <v>65536</v>
      </c>
      <c r="O230">
        <v>21600</v>
      </c>
      <c r="P230">
        <v>0.6704</v>
      </c>
      <c r="Q230">
        <v>66</v>
      </c>
      <c r="R230">
        <v>56.6</v>
      </c>
      <c r="S230" t="b">
        <v>1</v>
      </c>
      <c r="T230">
        <v>0.94285714300000001</v>
      </c>
      <c r="U230">
        <v>228</v>
      </c>
      <c r="V230">
        <f>Table1[[#This Row],[orig_m]]+Table1[[#This Row],[orig_n]]+Table1[[#This Row],[orig_k]]-2</f>
        <v>94</v>
      </c>
      <c r="W230">
        <f>Table1[[#This Row],[Dense Baseline]]-Table1[[#This Row],[cycles]]</f>
        <v>28</v>
      </c>
      <c r="X230">
        <f>(Table1[[#This Row],[eff_macs]]/Table1[[#This Row],[cycles]])*0.07</f>
        <v>22.90909090909091</v>
      </c>
      <c r="Y230">
        <f>(Table1[[#This Row],[orig_macs]]/Table1[[#This Row],[cycles]])*0.07</f>
        <v>69.507878787878795</v>
      </c>
      <c r="Z230">
        <f>(Table1[[#This Row],[Dense-Equivalent Throughput (GOPS)]] / IF(Table1[[#This Row],[config]]=0,144781,7618)) * 1000</f>
        <v>0.48008978241536382</v>
      </c>
      <c r="AA230">
        <f>(Table1[[#This Row],[Dense-Equivalent Throughput (GOPS)]] / 654.74 )/ IF(Table1[[#This Row],[config]]=0, 42381, 7618) * 10^9</f>
        <v>2504.9205816902927</v>
      </c>
      <c r="AB230">
        <f>IF(Table1[[#This Row],[config]]=0, 2860, 2210) * (Table1[[#This Row],[cycles]] / 70) / 1000</f>
        <v>2.6965714285714286</v>
      </c>
    </row>
    <row r="231" spans="1:28" x14ac:dyDescent="0.25">
      <c r="A231" t="s">
        <v>20</v>
      </c>
      <c r="B231" t="s">
        <v>24</v>
      </c>
      <c r="C231">
        <v>3</v>
      </c>
      <c r="D231">
        <v>62</v>
      </c>
      <c r="E231">
        <v>32</v>
      </c>
      <c r="F231">
        <v>32</v>
      </c>
      <c r="G231">
        <v>32</v>
      </c>
      <c r="H231">
        <v>30</v>
      </c>
      <c r="I231">
        <v>18</v>
      </c>
      <c r="J231">
        <v>20</v>
      </c>
      <c r="K231">
        <v>0</v>
      </c>
      <c r="L231">
        <v>32</v>
      </c>
      <c r="M231">
        <v>0.53120000000000001</v>
      </c>
      <c r="N231">
        <v>65536</v>
      </c>
      <c r="O231">
        <v>21600</v>
      </c>
      <c r="P231">
        <v>0.6704</v>
      </c>
      <c r="Q231">
        <v>66</v>
      </c>
      <c r="R231">
        <v>53.2</v>
      </c>
      <c r="S231" t="b">
        <v>1</v>
      </c>
      <c r="T231">
        <v>0.94285714300000001</v>
      </c>
      <c r="U231">
        <v>229</v>
      </c>
      <c r="V231">
        <f>Table1[[#This Row],[orig_m]]+Table1[[#This Row],[orig_n]]+Table1[[#This Row],[orig_k]]-2</f>
        <v>94</v>
      </c>
      <c r="W231">
        <f>Table1[[#This Row],[Dense Baseline]]-Table1[[#This Row],[cycles]]</f>
        <v>28</v>
      </c>
      <c r="X231">
        <f>(Table1[[#This Row],[eff_macs]]/Table1[[#This Row],[cycles]])*0.07</f>
        <v>22.90909090909091</v>
      </c>
      <c r="Y231">
        <f>(Table1[[#This Row],[orig_macs]]/Table1[[#This Row],[cycles]])*0.07</f>
        <v>69.507878787878795</v>
      </c>
      <c r="Z231">
        <f>(Table1[[#This Row],[Dense-Equivalent Throughput (GOPS)]] / IF(Table1[[#This Row],[config]]=0,144781,7618)) * 1000</f>
        <v>0.48008978241536382</v>
      </c>
      <c r="AA231">
        <f>(Table1[[#This Row],[Dense-Equivalent Throughput (GOPS)]] / 654.74 )/ IF(Table1[[#This Row],[config]]=0, 42381, 7618) * 10^9</f>
        <v>2504.9205816902927</v>
      </c>
      <c r="AB231">
        <f>IF(Table1[[#This Row],[config]]=0, 2860, 2210) * (Table1[[#This Row],[cycles]] / 70) / 1000</f>
        <v>2.6965714285714286</v>
      </c>
    </row>
    <row r="232" spans="1:28" x14ac:dyDescent="0.25">
      <c r="A232" t="s">
        <v>20</v>
      </c>
      <c r="B232" t="s">
        <v>24</v>
      </c>
      <c r="C232">
        <v>3</v>
      </c>
      <c r="D232">
        <v>63</v>
      </c>
      <c r="E232">
        <v>32</v>
      </c>
      <c r="F232">
        <v>32</v>
      </c>
      <c r="G232">
        <v>32</v>
      </c>
      <c r="H232">
        <v>30</v>
      </c>
      <c r="I232">
        <v>22</v>
      </c>
      <c r="J232">
        <v>20</v>
      </c>
      <c r="K232">
        <v>0</v>
      </c>
      <c r="L232">
        <v>32</v>
      </c>
      <c r="M232">
        <v>0.49220000000000003</v>
      </c>
      <c r="N232">
        <v>65536</v>
      </c>
      <c r="O232">
        <v>26400</v>
      </c>
      <c r="P232">
        <v>0.59719999999999995</v>
      </c>
      <c r="Q232">
        <v>70</v>
      </c>
      <c r="R232">
        <v>47.8</v>
      </c>
      <c r="S232" t="b">
        <v>1</v>
      </c>
      <c r="T232">
        <v>1</v>
      </c>
      <c r="U232">
        <v>230</v>
      </c>
      <c r="V232">
        <f>Table1[[#This Row],[orig_m]]+Table1[[#This Row],[orig_n]]+Table1[[#This Row],[orig_k]]-2</f>
        <v>94</v>
      </c>
      <c r="W232">
        <f>Table1[[#This Row],[Dense Baseline]]-Table1[[#This Row],[cycles]]</f>
        <v>24</v>
      </c>
      <c r="X232">
        <f>(Table1[[#This Row],[eff_macs]]/Table1[[#This Row],[cycles]])*0.07</f>
        <v>26.400000000000006</v>
      </c>
      <c r="Y232">
        <f>(Table1[[#This Row],[orig_macs]]/Table1[[#This Row],[cycles]])*0.07</f>
        <v>65.536000000000001</v>
      </c>
      <c r="Z232">
        <f>(Table1[[#This Row],[Dense-Equivalent Throughput (GOPS)]] / IF(Table1[[#This Row],[config]]=0,144781,7618)) * 1000</f>
        <v>0.45265608056305734</v>
      </c>
      <c r="AA232">
        <f>(Table1[[#This Row],[Dense-Equivalent Throughput (GOPS)]] / 654.74 )/ IF(Table1[[#This Row],[config]]=0, 42381, 7618) * 10^9</f>
        <v>2361.7822627365617</v>
      </c>
      <c r="AB232">
        <f>IF(Table1[[#This Row],[config]]=0, 2860, 2210) * (Table1[[#This Row],[cycles]] / 70) / 1000</f>
        <v>2.86</v>
      </c>
    </row>
    <row r="233" spans="1:28" x14ac:dyDescent="0.25">
      <c r="A233" t="s">
        <v>20</v>
      </c>
      <c r="B233" t="s">
        <v>24</v>
      </c>
      <c r="C233">
        <v>3</v>
      </c>
      <c r="D233">
        <v>64</v>
      </c>
      <c r="E233">
        <v>32</v>
      </c>
      <c r="F233">
        <v>32</v>
      </c>
      <c r="G233">
        <v>32</v>
      </c>
      <c r="H233">
        <v>30</v>
      </c>
      <c r="I233">
        <v>13</v>
      </c>
      <c r="J233">
        <v>20</v>
      </c>
      <c r="K233">
        <v>0</v>
      </c>
      <c r="L233">
        <v>32</v>
      </c>
      <c r="M233">
        <v>0.58009999999999995</v>
      </c>
      <c r="N233">
        <v>65536</v>
      </c>
      <c r="O233">
        <v>15600</v>
      </c>
      <c r="P233">
        <v>0.76200000000000001</v>
      </c>
      <c r="Q233">
        <v>61</v>
      </c>
      <c r="R233">
        <v>69.3</v>
      </c>
      <c r="S233" t="b">
        <v>1</v>
      </c>
      <c r="T233">
        <v>0.87142857100000004</v>
      </c>
      <c r="U233">
        <v>231</v>
      </c>
      <c r="V233">
        <f>Table1[[#This Row],[orig_m]]+Table1[[#This Row],[orig_n]]+Table1[[#This Row],[orig_k]]-2</f>
        <v>94</v>
      </c>
      <c r="W233">
        <f>Table1[[#This Row],[Dense Baseline]]-Table1[[#This Row],[cycles]]</f>
        <v>33</v>
      </c>
      <c r="X233">
        <f>(Table1[[#This Row],[eff_macs]]/Table1[[#This Row],[cycles]])*0.07</f>
        <v>17.901639344262296</v>
      </c>
      <c r="Y233">
        <f>(Table1[[#This Row],[orig_macs]]/Table1[[#This Row],[cycles]])*0.07</f>
        <v>75.205245901639358</v>
      </c>
      <c r="Z233">
        <f>(Table1[[#This Row],[Dense-Equivalent Throughput (GOPS)]] / IF(Table1[[#This Row],[config]]=0,144781,7618)) * 1000</f>
        <v>0.51944140392481997</v>
      </c>
      <c r="AA233">
        <f>(Table1[[#This Row],[Dense-Equivalent Throughput (GOPS)]] / 654.74 )/ IF(Table1[[#This Row],[config]]=0, 42381, 7618) * 10^9</f>
        <v>2710.2419408452347</v>
      </c>
      <c r="AB233">
        <f>IF(Table1[[#This Row],[config]]=0, 2860, 2210) * (Table1[[#This Row],[cycles]] / 70) / 1000</f>
        <v>2.4922857142857144</v>
      </c>
    </row>
    <row r="234" spans="1:28" x14ac:dyDescent="0.25">
      <c r="A234" t="s">
        <v>20</v>
      </c>
      <c r="B234" t="s">
        <v>24</v>
      </c>
      <c r="C234">
        <v>3</v>
      </c>
      <c r="D234">
        <v>65</v>
      </c>
      <c r="E234">
        <v>32</v>
      </c>
      <c r="F234">
        <v>32</v>
      </c>
      <c r="G234">
        <v>32</v>
      </c>
      <c r="H234">
        <v>30</v>
      </c>
      <c r="I234">
        <v>18</v>
      </c>
      <c r="J234">
        <v>20</v>
      </c>
      <c r="K234">
        <v>0</v>
      </c>
      <c r="L234">
        <v>32</v>
      </c>
      <c r="M234">
        <v>0.53120000000000001</v>
      </c>
      <c r="N234">
        <v>65536</v>
      </c>
      <c r="O234">
        <v>21600</v>
      </c>
      <c r="P234">
        <v>0.6704</v>
      </c>
      <c r="Q234">
        <v>66</v>
      </c>
      <c r="R234">
        <v>50</v>
      </c>
      <c r="S234" t="b">
        <v>1</v>
      </c>
      <c r="T234">
        <v>0.94285714300000001</v>
      </c>
      <c r="U234">
        <v>232</v>
      </c>
      <c r="V234">
        <f>Table1[[#This Row],[orig_m]]+Table1[[#This Row],[orig_n]]+Table1[[#This Row],[orig_k]]-2</f>
        <v>94</v>
      </c>
      <c r="W234">
        <f>Table1[[#This Row],[Dense Baseline]]-Table1[[#This Row],[cycles]]</f>
        <v>28</v>
      </c>
      <c r="X234">
        <f>(Table1[[#This Row],[eff_macs]]/Table1[[#This Row],[cycles]])*0.07</f>
        <v>22.90909090909091</v>
      </c>
      <c r="Y234">
        <f>(Table1[[#This Row],[orig_macs]]/Table1[[#This Row],[cycles]])*0.07</f>
        <v>69.507878787878795</v>
      </c>
      <c r="Z234">
        <f>(Table1[[#This Row],[Dense-Equivalent Throughput (GOPS)]] / IF(Table1[[#This Row],[config]]=0,144781,7618)) * 1000</f>
        <v>0.48008978241536382</v>
      </c>
      <c r="AA234">
        <f>(Table1[[#This Row],[Dense-Equivalent Throughput (GOPS)]] / 654.74 )/ IF(Table1[[#This Row],[config]]=0, 42381, 7618) * 10^9</f>
        <v>2504.9205816902927</v>
      </c>
      <c r="AB234">
        <f>IF(Table1[[#This Row],[config]]=0, 2860, 2210) * (Table1[[#This Row],[cycles]] / 70) / 1000</f>
        <v>2.6965714285714286</v>
      </c>
    </row>
    <row r="235" spans="1:28" x14ac:dyDescent="0.25">
      <c r="A235" t="s">
        <v>20</v>
      </c>
      <c r="B235" t="s">
        <v>24</v>
      </c>
      <c r="C235">
        <v>3</v>
      </c>
      <c r="D235">
        <v>66</v>
      </c>
      <c r="E235">
        <v>32</v>
      </c>
      <c r="F235">
        <v>32</v>
      </c>
      <c r="G235">
        <v>32</v>
      </c>
      <c r="H235">
        <v>30</v>
      </c>
      <c r="I235">
        <v>17</v>
      </c>
      <c r="J235">
        <v>20</v>
      </c>
      <c r="K235">
        <v>0</v>
      </c>
      <c r="L235">
        <v>32</v>
      </c>
      <c r="M235">
        <v>0.54100000000000004</v>
      </c>
      <c r="N235">
        <v>65536</v>
      </c>
      <c r="O235">
        <v>20400</v>
      </c>
      <c r="P235">
        <v>0.68869999999999998</v>
      </c>
      <c r="Q235">
        <v>65</v>
      </c>
      <c r="R235">
        <v>331.5</v>
      </c>
      <c r="S235" t="b">
        <v>1</v>
      </c>
      <c r="T235">
        <v>0.928571429</v>
      </c>
      <c r="U235">
        <v>233</v>
      </c>
      <c r="V235">
        <f>Table1[[#This Row],[orig_m]]+Table1[[#This Row],[orig_n]]+Table1[[#This Row],[orig_k]]-2</f>
        <v>94</v>
      </c>
      <c r="W235">
        <f>Table1[[#This Row],[Dense Baseline]]-Table1[[#This Row],[cycles]]</f>
        <v>29</v>
      </c>
      <c r="X235">
        <f>(Table1[[#This Row],[eff_macs]]/Table1[[#This Row],[cycles]])*0.07</f>
        <v>21.969230769230773</v>
      </c>
      <c r="Y235">
        <f>(Table1[[#This Row],[orig_macs]]/Table1[[#This Row],[cycles]])*0.07</f>
        <v>70.577230769230781</v>
      </c>
      <c r="Z235">
        <f>(Table1[[#This Row],[Dense-Equivalent Throughput (GOPS)]] / IF(Table1[[#This Row],[config]]=0,144781,7618)) * 1000</f>
        <v>0.48747577906790795</v>
      </c>
      <c r="AA235">
        <f>(Table1[[#This Row],[Dense-Equivalent Throughput (GOPS)]] / 654.74 )/ IF(Table1[[#This Row],[config]]=0, 42381, 7618) * 10^9</f>
        <v>2543.457821408605</v>
      </c>
      <c r="AB235">
        <f>IF(Table1[[#This Row],[config]]=0, 2860, 2210) * (Table1[[#This Row],[cycles]] / 70) / 1000</f>
        <v>2.6557142857142857</v>
      </c>
    </row>
    <row r="236" spans="1:28" x14ac:dyDescent="0.25">
      <c r="A236" t="s">
        <v>20</v>
      </c>
      <c r="B236" t="s">
        <v>24</v>
      </c>
      <c r="C236">
        <v>3</v>
      </c>
      <c r="D236">
        <v>67</v>
      </c>
      <c r="E236">
        <v>32</v>
      </c>
      <c r="F236">
        <v>32</v>
      </c>
      <c r="G236">
        <v>32</v>
      </c>
      <c r="H236">
        <v>28</v>
      </c>
      <c r="I236">
        <v>18</v>
      </c>
      <c r="J236">
        <v>15</v>
      </c>
      <c r="K236">
        <v>0</v>
      </c>
      <c r="L236">
        <v>32</v>
      </c>
      <c r="M236">
        <v>0.66310000000000002</v>
      </c>
      <c r="N236">
        <v>65536</v>
      </c>
      <c r="O236">
        <v>15120</v>
      </c>
      <c r="P236">
        <v>0.76929999999999998</v>
      </c>
      <c r="Q236">
        <v>59</v>
      </c>
      <c r="R236">
        <v>49.2</v>
      </c>
      <c r="S236" t="b">
        <v>1</v>
      </c>
      <c r="T236">
        <v>0.84285714300000003</v>
      </c>
      <c r="U236">
        <v>234</v>
      </c>
      <c r="V236">
        <f>Table1[[#This Row],[orig_m]]+Table1[[#This Row],[orig_n]]+Table1[[#This Row],[orig_k]]-2</f>
        <v>94</v>
      </c>
      <c r="W236">
        <f>Table1[[#This Row],[Dense Baseline]]-Table1[[#This Row],[cycles]]</f>
        <v>35</v>
      </c>
      <c r="X236">
        <f>(Table1[[#This Row],[eff_macs]]/Table1[[#This Row],[cycles]])*0.07</f>
        <v>17.938983050847462</v>
      </c>
      <c r="Y236">
        <f>(Table1[[#This Row],[orig_macs]]/Table1[[#This Row],[cycles]])*0.07</f>
        <v>77.754576271186451</v>
      </c>
      <c r="Z236">
        <f>(Table1[[#This Row],[Dense-Equivalent Throughput (GOPS)]] / IF(Table1[[#This Row],[config]]=0,144781,7618)) * 1000</f>
        <v>0.5370495871087122</v>
      </c>
      <c r="AA236">
        <f>(Table1[[#This Row],[Dense-Equivalent Throughput (GOPS)]] / 654.74 )/ IF(Table1[[#This Row],[config]]=0, 42381, 7618) * 10^9</f>
        <v>2802.11454900948</v>
      </c>
      <c r="AB236">
        <f>IF(Table1[[#This Row],[config]]=0, 2860, 2210) * (Table1[[#This Row],[cycles]] / 70) / 1000</f>
        <v>2.4105714285714286</v>
      </c>
    </row>
    <row r="237" spans="1:28" x14ac:dyDescent="0.25">
      <c r="A237" t="s">
        <v>20</v>
      </c>
      <c r="B237" t="s">
        <v>24</v>
      </c>
      <c r="C237">
        <v>3</v>
      </c>
      <c r="D237">
        <v>68</v>
      </c>
      <c r="E237">
        <v>32</v>
      </c>
      <c r="F237">
        <v>32</v>
      </c>
      <c r="G237">
        <v>32</v>
      </c>
      <c r="H237">
        <v>28</v>
      </c>
      <c r="I237">
        <v>18</v>
      </c>
      <c r="J237">
        <v>15</v>
      </c>
      <c r="K237">
        <v>0</v>
      </c>
      <c r="L237">
        <v>32</v>
      </c>
      <c r="M237">
        <v>0.66310000000000002</v>
      </c>
      <c r="N237">
        <v>65536</v>
      </c>
      <c r="O237">
        <v>15120</v>
      </c>
      <c r="P237">
        <v>0.76929999999999998</v>
      </c>
      <c r="Q237">
        <v>59</v>
      </c>
      <c r="R237">
        <v>55.8</v>
      </c>
      <c r="S237" t="b">
        <v>1</v>
      </c>
      <c r="T237">
        <v>0.84285714300000003</v>
      </c>
      <c r="U237">
        <v>235</v>
      </c>
      <c r="V237">
        <f>Table1[[#This Row],[orig_m]]+Table1[[#This Row],[orig_n]]+Table1[[#This Row],[orig_k]]-2</f>
        <v>94</v>
      </c>
      <c r="W237">
        <f>Table1[[#This Row],[Dense Baseline]]-Table1[[#This Row],[cycles]]</f>
        <v>35</v>
      </c>
      <c r="X237">
        <f>(Table1[[#This Row],[eff_macs]]/Table1[[#This Row],[cycles]])*0.07</f>
        <v>17.938983050847462</v>
      </c>
      <c r="Y237">
        <f>(Table1[[#This Row],[orig_macs]]/Table1[[#This Row],[cycles]])*0.07</f>
        <v>77.754576271186451</v>
      </c>
      <c r="Z237">
        <f>(Table1[[#This Row],[Dense-Equivalent Throughput (GOPS)]] / IF(Table1[[#This Row],[config]]=0,144781,7618)) * 1000</f>
        <v>0.5370495871087122</v>
      </c>
      <c r="AA237">
        <f>(Table1[[#This Row],[Dense-Equivalent Throughput (GOPS)]] / 654.74 )/ IF(Table1[[#This Row],[config]]=0, 42381, 7618) * 10^9</f>
        <v>2802.11454900948</v>
      </c>
      <c r="AB237">
        <f>IF(Table1[[#This Row],[config]]=0, 2860, 2210) * (Table1[[#This Row],[cycles]] / 70) / 1000</f>
        <v>2.4105714285714286</v>
      </c>
    </row>
    <row r="238" spans="1:28" x14ac:dyDescent="0.25">
      <c r="A238" t="s">
        <v>20</v>
      </c>
      <c r="B238" t="s">
        <v>24</v>
      </c>
      <c r="C238">
        <v>3</v>
      </c>
      <c r="D238">
        <v>69</v>
      </c>
      <c r="E238">
        <v>32</v>
      </c>
      <c r="F238">
        <v>32</v>
      </c>
      <c r="G238">
        <v>32</v>
      </c>
      <c r="H238">
        <v>28</v>
      </c>
      <c r="I238">
        <v>22</v>
      </c>
      <c r="J238">
        <v>15</v>
      </c>
      <c r="K238">
        <v>0</v>
      </c>
      <c r="L238">
        <v>32</v>
      </c>
      <c r="M238">
        <v>0.63380000000000003</v>
      </c>
      <c r="N238">
        <v>65536</v>
      </c>
      <c r="O238">
        <v>18480</v>
      </c>
      <c r="P238">
        <v>0.71799999999999997</v>
      </c>
      <c r="Q238">
        <v>63</v>
      </c>
      <c r="R238">
        <v>82.3</v>
      </c>
      <c r="S238" t="b">
        <v>1</v>
      </c>
      <c r="T238">
        <v>0.9</v>
      </c>
      <c r="U238">
        <v>236</v>
      </c>
      <c r="V238">
        <f>Table1[[#This Row],[orig_m]]+Table1[[#This Row],[orig_n]]+Table1[[#This Row],[orig_k]]-2</f>
        <v>94</v>
      </c>
      <c r="W238">
        <f>Table1[[#This Row],[Dense Baseline]]-Table1[[#This Row],[cycles]]</f>
        <v>31</v>
      </c>
      <c r="X238">
        <f>(Table1[[#This Row],[eff_macs]]/Table1[[#This Row],[cycles]])*0.07</f>
        <v>20.533333333333335</v>
      </c>
      <c r="Y238">
        <f>(Table1[[#This Row],[orig_macs]]/Table1[[#This Row],[cycles]])*0.07</f>
        <v>72.817777777777778</v>
      </c>
      <c r="Z238">
        <f>(Table1[[#This Row],[Dense-Equivalent Throughput (GOPS)]] / IF(Table1[[#This Row],[config]]=0,144781,7618)) * 1000</f>
        <v>0.50295120062561927</v>
      </c>
      <c r="AA238">
        <f>(Table1[[#This Row],[Dense-Equivalent Throughput (GOPS)]] / 654.74 )/ IF(Table1[[#This Row],[config]]=0, 42381, 7618) * 10^9</f>
        <v>2624.2025141517352</v>
      </c>
      <c r="AB238">
        <f>IF(Table1[[#This Row],[config]]=0, 2860, 2210) * (Table1[[#This Row],[cycles]] / 70) / 1000</f>
        <v>2.5739999999999998</v>
      </c>
    </row>
    <row r="239" spans="1:28" x14ac:dyDescent="0.25">
      <c r="A239" t="s">
        <v>20</v>
      </c>
      <c r="B239" t="s">
        <v>24</v>
      </c>
      <c r="C239">
        <v>3</v>
      </c>
      <c r="D239">
        <v>70</v>
      </c>
      <c r="E239">
        <v>32</v>
      </c>
      <c r="F239">
        <v>32</v>
      </c>
      <c r="G239">
        <v>32</v>
      </c>
      <c r="H239">
        <v>28</v>
      </c>
      <c r="I239">
        <v>13</v>
      </c>
      <c r="J239">
        <v>15</v>
      </c>
      <c r="K239">
        <v>0</v>
      </c>
      <c r="L239">
        <v>32</v>
      </c>
      <c r="M239">
        <v>0.69969999999999999</v>
      </c>
      <c r="N239">
        <v>65536</v>
      </c>
      <c r="O239">
        <v>10920</v>
      </c>
      <c r="P239">
        <v>0.83340000000000003</v>
      </c>
      <c r="Q239">
        <v>54</v>
      </c>
      <c r="R239">
        <v>48.4</v>
      </c>
      <c r="S239" t="b">
        <v>1</v>
      </c>
      <c r="T239">
        <v>0.77142857099999995</v>
      </c>
      <c r="U239">
        <v>237</v>
      </c>
      <c r="V239">
        <f>Table1[[#This Row],[orig_m]]+Table1[[#This Row],[orig_n]]+Table1[[#This Row],[orig_k]]-2</f>
        <v>94</v>
      </c>
      <c r="W239">
        <f>Table1[[#This Row],[Dense Baseline]]-Table1[[#This Row],[cycles]]</f>
        <v>40</v>
      </c>
      <c r="X239">
        <f>(Table1[[#This Row],[eff_macs]]/Table1[[#This Row],[cycles]])*0.07</f>
        <v>14.155555555555557</v>
      </c>
      <c r="Y239">
        <f>(Table1[[#This Row],[orig_macs]]/Table1[[#This Row],[cycles]])*0.07</f>
        <v>84.954074074074072</v>
      </c>
      <c r="Z239">
        <f>(Table1[[#This Row],[Dense-Equivalent Throughput (GOPS)]] / IF(Table1[[#This Row],[config]]=0,144781,7618)) * 1000</f>
        <v>0.58677640072988901</v>
      </c>
      <c r="AA239">
        <f>(Table1[[#This Row],[Dense-Equivalent Throughput (GOPS)]] / 654.74 )/ IF(Table1[[#This Row],[config]]=0, 42381, 7618) * 10^9</f>
        <v>3061.5695998436909</v>
      </c>
      <c r="AB239">
        <f>IF(Table1[[#This Row],[config]]=0, 2860, 2210) * (Table1[[#This Row],[cycles]] / 70) / 1000</f>
        <v>2.2062857142857144</v>
      </c>
    </row>
    <row r="240" spans="1:28" x14ac:dyDescent="0.25">
      <c r="A240" t="s">
        <v>20</v>
      </c>
      <c r="B240" t="s">
        <v>24</v>
      </c>
      <c r="C240">
        <v>3</v>
      </c>
      <c r="D240">
        <v>71</v>
      </c>
      <c r="E240">
        <v>32</v>
      </c>
      <c r="F240">
        <v>32</v>
      </c>
      <c r="G240">
        <v>32</v>
      </c>
      <c r="H240">
        <v>28</v>
      </c>
      <c r="I240">
        <v>18</v>
      </c>
      <c r="J240">
        <v>15</v>
      </c>
      <c r="K240">
        <v>0</v>
      </c>
      <c r="L240">
        <v>32</v>
      </c>
      <c r="M240">
        <v>0.66310000000000002</v>
      </c>
      <c r="N240">
        <v>65536</v>
      </c>
      <c r="O240">
        <v>15120</v>
      </c>
      <c r="P240">
        <v>0.76929999999999998</v>
      </c>
      <c r="Q240">
        <v>59</v>
      </c>
      <c r="R240">
        <v>237.4</v>
      </c>
      <c r="S240" t="b">
        <v>1</v>
      </c>
      <c r="T240">
        <v>0.84285714300000003</v>
      </c>
      <c r="U240">
        <v>238</v>
      </c>
      <c r="V240">
        <f>Table1[[#This Row],[orig_m]]+Table1[[#This Row],[orig_n]]+Table1[[#This Row],[orig_k]]-2</f>
        <v>94</v>
      </c>
      <c r="W240">
        <f>Table1[[#This Row],[Dense Baseline]]-Table1[[#This Row],[cycles]]</f>
        <v>35</v>
      </c>
      <c r="X240">
        <f>(Table1[[#This Row],[eff_macs]]/Table1[[#This Row],[cycles]])*0.07</f>
        <v>17.938983050847462</v>
      </c>
      <c r="Y240">
        <f>(Table1[[#This Row],[orig_macs]]/Table1[[#This Row],[cycles]])*0.07</f>
        <v>77.754576271186451</v>
      </c>
      <c r="Z240">
        <f>(Table1[[#This Row],[Dense-Equivalent Throughput (GOPS)]] / IF(Table1[[#This Row],[config]]=0,144781,7618)) * 1000</f>
        <v>0.5370495871087122</v>
      </c>
      <c r="AA240">
        <f>(Table1[[#This Row],[Dense-Equivalent Throughput (GOPS)]] / 654.74 )/ IF(Table1[[#This Row],[config]]=0, 42381, 7618) * 10^9</f>
        <v>2802.11454900948</v>
      </c>
      <c r="AB240">
        <f>IF(Table1[[#This Row],[config]]=0, 2860, 2210) * (Table1[[#This Row],[cycles]] / 70) / 1000</f>
        <v>2.4105714285714286</v>
      </c>
    </row>
    <row r="241" spans="1:28" x14ac:dyDescent="0.25">
      <c r="A241" t="s">
        <v>20</v>
      </c>
      <c r="B241" t="s">
        <v>24</v>
      </c>
      <c r="C241">
        <v>3</v>
      </c>
      <c r="D241">
        <v>72</v>
      </c>
      <c r="E241">
        <v>32</v>
      </c>
      <c r="F241">
        <v>32</v>
      </c>
      <c r="G241">
        <v>32</v>
      </c>
      <c r="H241">
        <v>28</v>
      </c>
      <c r="I241">
        <v>17</v>
      </c>
      <c r="J241">
        <v>15</v>
      </c>
      <c r="K241">
        <v>0</v>
      </c>
      <c r="L241">
        <v>32</v>
      </c>
      <c r="M241">
        <v>0.6704</v>
      </c>
      <c r="N241">
        <v>65536</v>
      </c>
      <c r="O241">
        <v>14280</v>
      </c>
      <c r="P241">
        <v>0.78210000000000002</v>
      </c>
      <c r="Q241">
        <v>58</v>
      </c>
      <c r="R241">
        <v>49.2</v>
      </c>
      <c r="S241" t="b">
        <v>1</v>
      </c>
      <c r="T241">
        <v>0.82857142900000003</v>
      </c>
      <c r="U241">
        <v>239</v>
      </c>
      <c r="V241">
        <f>Table1[[#This Row],[orig_m]]+Table1[[#This Row],[orig_n]]+Table1[[#This Row],[orig_k]]-2</f>
        <v>94</v>
      </c>
      <c r="W241">
        <f>Table1[[#This Row],[Dense Baseline]]-Table1[[#This Row],[cycles]]</f>
        <v>36</v>
      </c>
      <c r="X241">
        <f>(Table1[[#This Row],[eff_macs]]/Table1[[#This Row],[cycles]])*0.07</f>
        <v>17.23448275862069</v>
      </c>
      <c r="Y241">
        <f>(Table1[[#This Row],[orig_macs]]/Table1[[#This Row],[cycles]])*0.07</f>
        <v>79.095172413793108</v>
      </c>
      <c r="Z241">
        <f>(Table1[[#This Row],[Dense-Equivalent Throughput (GOPS)]] / IF(Table1[[#This Row],[config]]=0,144781,7618)) * 1000</f>
        <v>0.54630906274851743</v>
      </c>
      <c r="AA241">
        <f>(Table1[[#This Row],[Dense-Equivalent Throughput (GOPS)]] / 654.74 )/ IF(Table1[[#This Row],[config]]=0, 42381, 7618) * 10^9</f>
        <v>2850.4268688199882</v>
      </c>
      <c r="AB241">
        <f>IF(Table1[[#This Row],[config]]=0, 2860, 2210) * (Table1[[#This Row],[cycles]] / 70) / 1000</f>
        <v>2.3697142857142857</v>
      </c>
    </row>
    <row r="242" spans="1:28" x14ac:dyDescent="0.25">
      <c r="A242" t="s">
        <v>20</v>
      </c>
      <c r="B242" t="s">
        <v>24</v>
      </c>
      <c r="C242">
        <v>3</v>
      </c>
      <c r="D242">
        <v>73</v>
      </c>
      <c r="E242">
        <v>32</v>
      </c>
      <c r="F242">
        <v>32</v>
      </c>
      <c r="G242">
        <v>32</v>
      </c>
      <c r="H242">
        <v>32</v>
      </c>
      <c r="I242">
        <v>18</v>
      </c>
      <c r="J242">
        <v>17</v>
      </c>
      <c r="K242">
        <v>0</v>
      </c>
      <c r="L242">
        <v>32</v>
      </c>
      <c r="M242">
        <v>0.58499999999999996</v>
      </c>
      <c r="N242">
        <v>65536</v>
      </c>
      <c r="O242">
        <v>19584</v>
      </c>
      <c r="P242">
        <v>0.70120000000000005</v>
      </c>
      <c r="Q242">
        <v>65</v>
      </c>
      <c r="R242">
        <v>135.1</v>
      </c>
      <c r="S242" t="b">
        <v>1</v>
      </c>
      <c r="T242">
        <v>0.928571429</v>
      </c>
      <c r="U242">
        <v>240</v>
      </c>
      <c r="V242">
        <f>Table1[[#This Row],[orig_m]]+Table1[[#This Row],[orig_n]]+Table1[[#This Row],[orig_k]]-2</f>
        <v>94</v>
      </c>
      <c r="W242">
        <f>Table1[[#This Row],[Dense Baseline]]-Table1[[#This Row],[cycles]]</f>
        <v>29</v>
      </c>
      <c r="X242">
        <f>(Table1[[#This Row],[eff_macs]]/Table1[[#This Row],[cycles]])*0.07</f>
        <v>21.09046153846154</v>
      </c>
      <c r="Y242">
        <f>(Table1[[#This Row],[orig_macs]]/Table1[[#This Row],[cycles]])*0.07</f>
        <v>70.577230769230781</v>
      </c>
      <c r="Z242">
        <f>(Table1[[#This Row],[Dense-Equivalent Throughput (GOPS)]] / IF(Table1[[#This Row],[config]]=0,144781,7618)) * 1000</f>
        <v>0.48747577906790795</v>
      </c>
      <c r="AA242">
        <f>(Table1[[#This Row],[Dense-Equivalent Throughput (GOPS)]] / 654.74 )/ IF(Table1[[#This Row],[config]]=0, 42381, 7618) * 10^9</f>
        <v>2543.457821408605</v>
      </c>
      <c r="AB242">
        <f>IF(Table1[[#This Row],[config]]=0, 2860, 2210) * (Table1[[#This Row],[cycles]] / 70) / 1000</f>
        <v>2.6557142857142857</v>
      </c>
    </row>
    <row r="243" spans="1:28" x14ac:dyDescent="0.25">
      <c r="A243" t="s">
        <v>20</v>
      </c>
      <c r="B243" t="s">
        <v>24</v>
      </c>
      <c r="C243">
        <v>3</v>
      </c>
      <c r="D243">
        <v>74</v>
      </c>
      <c r="E243">
        <v>32</v>
      </c>
      <c r="F243">
        <v>32</v>
      </c>
      <c r="G243">
        <v>32</v>
      </c>
      <c r="H243">
        <v>32</v>
      </c>
      <c r="I243">
        <v>18</v>
      </c>
      <c r="J243">
        <v>17</v>
      </c>
      <c r="K243">
        <v>0</v>
      </c>
      <c r="L243">
        <v>32</v>
      </c>
      <c r="M243">
        <v>0.58499999999999996</v>
      </c>
      <c r="N243">
        <v>65536</v>
      </c>
      <c r="O243">
        <v>19584</v>
      </c>
      <c r="P243">
        <v>0.70120000000000005</v>
      </c>
      <c r="Q243">
        <v>65</v>
      </c>
      <c r="R243">
        <v>39.299999999999997</v>
      </c>
      <c r="S243" t="b">
        <v>1</v>
      </c>
      <c r="T243">
        <v>0.928571429</v>
      </c>
      <c r="U243">
        <v>241</v>
      </c>
      <c r="V243">
        <f>Table1[[#This Row],[orig_m]]+Table1[[#This Row],[orig_n]]+Table1[[#This Row],[orig_k]]-2</f>
        <v>94</v>
      </c>
      <c r="W243">
        <f>Table1[[#This Row],[Dense Baseline]]-Table1[[#This Row],[cycles]]</f>
        <v>29</v>
      </c>
      <c r="X243">
        <f>(Table1[[#This Row],[eff_macs]]/Table1[[#This Row],[cycles]])*0.07</f>
        <v>21.09046153846154</v>
      </c>
      <c r="Y243">
        <f>(Table1[[#This Row],[orig_macs]]/Table1[[#This Row],[cycles]])*0.07</f>
        <v>70.577230769230781</v>
      </c>
      <c r="Z243">
        <f>(Table1[[#This Row],[Dense-Equivalent Throughput (GOPS)]] / IF(Table1[[#This Row],[config]]=0,144781,7618)) * 1000</f>
        <v>0.48747577906790795</v>
      </c>
      <c r="AA243">
        <f>(Table1[[#This Row],[Dense-Equivalent Throughput (GOPS)]] / 654.74 )/ IF(Table1[[#This Row],[config]]=0, 42381, 7618) * 10^9</f>
        <v>2543.457821408605</v>
      </c>
      <c r="AB243">
        <f>IF(Table1[[#This Row],[config]]=0, 2860, 2210) * (Table1[[#This Row],[cycles]] / 70) / 1000</f>
        <v>2.6557142857142857</v>
      </c>
    </row>
    <row r="244" spans="1:28" x14ac:dyDescent="0.25">
      <c r="A244" t="s">
        <v>20</v>
      </c>
      <c r="B244" t="s">
        <v>24</v>
      </c>
      <c r="C244">
        <v>3</v>
      </c>
      <c r="D244">
        <v>75</v>
      </c>
      <c r="E244">
        <v>32</v>
      </c>
      <c r="F244">
        <v>32</v>
      </c>
      <c r="G244">
        <v>32</v>
      </c>
      <c r="H244">
        <v>32</v>
      </c>
      <c r="I244">
        <v>22</v>
      </c>
      <c r="J244">
        <v>17</v>
      </c>
      <c r="K244">
        <v>0</v>
      </c>
      <c r="L244">
        <v>32</v>
      </c>
      <c r="M244">
        <v>0.55179999999999996</v>
      </c>
      <c r="N244">
        <v>65536</v>
      </c>
      <c r="O244">
        <v>23936</v>
      </c>
      <c r="P244">
        <v>0.63480000000000003</v>
      </c>
      <c r="Q244">
        <v>69</v>
      </c>
      <c r="R244">
        <v>45.2</v>
      </c>
      <c r="S244" t="b">
        <v>1</v>
      </c>
      <c r="T244">
        <v>0.985714286</v>
      </c>
      <c r="U244">
        <v>242</v>
      </c>
      <c r="V244">
        <f>Table1[[#This Row],[orig_m]]+Table1[[#This Row],[orig_n]]+Table1[[#This Row],[orig_k]]-2</f>
        <v>94</v>
      </c>
      <c r="W244">
        <f>Table1[[#This Row],[Dense Baseline]]-Table1[[#This Row],[cycles]]</f>
        <v>25</v>
      </c>
      <c r="X244">
        <f>(Table1[[#This Row],[eff_macs]]/Table1[[#This Row],[cycles]])*0.07</f>
        <v>24.282898550724639</v>
      </c>
      <c r="Y244">
        <f>(Table1[[#This Row],[orig_macs]]/Table1[[#This Row],[cycles]])*0.07</f>
        <v>66.485797101449279</v>
      </c>
      <c r="Z244">
        <f>(Table1[[#This Row],[Dense-Equivalent Throughput (GOPS)]] / IF(Table1[[#This Row],[config]]=0,144781,7618)) * 1000</f>
        <v>0.45921631361469584</v>
      </c>
      <c r="AA244">
        <f>(Table1[[#This Row],[Dense-Equivalent Throughput (GOPS)]] / 654.74 )/ IF(Table1[[#This Row],[config]]=0, 42381, 7618) * 10^9</f>
        <v>2396.0109911820191</v>
      </c>
      <c r="AB244">
        <f>IF(Table1[[#This Row],[config]]=0, 2860, 2210) * (Table1[[#This Row],[cycles]] / 70) / 1000</f>
        <v>2.8191428571428574</v>
      </c>
    </row>
    <row r="245" spans="1:28" x14ac:dyDescent="0.25">
      <c r="A245" t="s">
        <v>20</v>
      </c>
      <c r="B245" t="s">
        <v>24</v>
      </c>
      <c r="C245">
        <v>3</v>
      </c>
      <c r="D245">
        <v>76</v>
      </c>
      <c r="E245">
        <v>32</v>
      </c>
      <c r="F245">
        <v>32</v>
      </c>
      <c r="G245">
        <v>32</v>
      </c>
      <c r="H245">
        <v>32</v>
      </c>
      <c r="I245">
        <v>13</v>
      </c>
      <c r="J245">
        <v>17</v>
      </c>
      <c r="K245">
        <v>0</v>
      </c>
      <c r="L245">
        <v>32</v>
      </c>
      <c r="M245">
        <v>0.62649999999999995</v>
      </c>
      <c r="N245">
        <v>65536</v>
      </c>
      <c r="O245">
        <v>14144</v>
      </c>
      <c r="P245">
        <v>0.78420000000000001</v>
      </c>
      <c r="Q245">
        <v>60</v>
      </c>
      <c r="R245">
        <v>163.69999999999999</v>
      </c>
      <c r="S245" t="b">
        <v>1</v>
      </c>
      <c r="T245">
        <v>0.85714285700000004</v>
      </c>
      <c r="U245">
        <v>243</v>
      </c>
      <c r="V245">
        <f>Table1[[#This Row],[orig_m]]+Table1[[#This Row],[orig_n]]+Table1[[#This Row],[orig_k]]-2</f>
        <v>94</v>
      </c>
      <c r="W245">
        <f>Table1[[#This Row],[Dense Baseline]]-Table1[[#This Row],[cycles]]</f>
        <v>34</v>
      </c>
      <c r="X245">
        <f>(Table1[[#This Row],[eff_macs]]/Table1[[#This Row],[cycles]])*0.07</f>
        <v>16.501333333333335</v>
      </c>
      <c r="Y245">
        <f>(Table1[[#This Row],[orig_macs]]/Table1[[#This Row],[cycles]])*0.07</f>
        <v>76.458666666666673</v>
      </c>
      <c r="Z245">
        <f>(Table1[[#This Row],[Dense-Equivalent Throughput (GOPS)]] / IF(Table1[[#This Row],[config]]=0,144781,7618)) * 1000</f>
        <v>0.52809876065690031</v>
      </c>
      <c r="AA245">
        <f>(Table1[[#This Row],[Dense-Equivalent Throughput (GOPS)]] / 654.74 )/ IF(Table1[[#This Row],[config]]=0, 42381, 7618) * 10^9</f>
        <v>2755.4126398593216</v>
      </c>
      <c r="AB245">
        <f>IF(Table1[[#This Row],[config]]=0, 2860, 2210) * (Table1[[#This Row],[cycles]] / 70) / 1000</f>
        <v>2.4514285714285711</v>
      </c>
    </row>
    <row r="246" spans="1:28" x14ac:dyDescent="0.25">
      <c r="A246" t="s">
        <v>20</v>
      </c>
      <c r="B246" t="s">
        <v>24</v>
      </c>
      <c r="C246">
        <v>3</v>
      </c>
      <c r="D246">
        <v>77</v>
      </c>
      <c r="E246">
        <v>32</v>
      </c>
      <c r="F246">
        <v>32</v>
      </c>
      <c r="G246">
        <v>32</v>
      </c>
      <c r="H246">
        <v>32</v>
      </c>
      <c r="I246">
        <v>18</v>
      </c>
      <c r="J246">
        <v>17</v>
      </c>
      <c r="K246">
        <v>0</v>
      </c>
      <c r="L246">
        <v>32</v>
      </c>
      <c r="M246">
        <v>0.58499999999999996</v>
      </c>
      <c r="N246">
        <v>65536</v>
      </c>
      <c r="O246">
        <v>19584</v>
      </c>
      <c r="P246">
        <v>0.70120000000000005</v>
      </c>
      <c r="Q246">
        <v>65</v>
      </c>
      <c r="R246">
        <v>49.4</v>
      </c>
      <c r="S246" t="b">
        <v>1</v>
      </c>
      <c r="T246">
        <v>0.928571429</v>
      </c>
      <c r="U246">
        <v>244</v>
      </c>
      <c r="V246">
        <f>Table1[[#This Row],[orig_m]]+Table1[[#This Row],[orig_n]]+Table1[[#This Row],[orig_k]]-2</f>
        <v>94</v>
      </c>
      <c r="W246">
        <f>Table1[[#This Row],[Dense Baseline]]-Table1[[#This Row],[cycles]]</f>
        <v>29</v>
      </c>
      <c r="X246">
        <f>(Table1[[#This Row],[eff_macs]]/Table1[[#This Row],[cycles]])*0.07</f>
        <v>21.09046153846154</v>
      </c>
      <c r="Y246">
        <f>(Table1[[#This Row],[orig_macs]]/Table1[[#This Row],[cycles]])*0.07</f>
        <v>70.577230769230781</v>
      </c>
      <c r="Z246">
        <f>(Table1[[#This Row],[Dense-Equivalent Throughput (GOPS)]] / IF(Table1[[#This Row],[config]]=0,144781,7618)) * 1000</f>
        <v>0.48747577906790795</v>
      </c>
      <c r="AA246">
        <f>(Table1[[#This Row],[Dense-Equivalent Throughput (GOPS)]] / 654.74 )/ IF(Table1[[#This Row],[config]]=0, 42381, 7618) * 10^9</f>
        <v>2543.457821408605</v>
      </c>
      <c r="AB246">
        <f>IF(Table1[[#This Row],[config]]=0, 2860, 2210) * (Table1[[#This Row],[cycles]] / 70) / 1000</f>
        <v>2.6557142857142857</v>
      </c>
    </row>
    <row r="247" spans="1:28" x14ac:dyDescent="0.25">
      <c r="A247" t="s">
        <v>20</v>
      </c>
      <c r="B247" t="s">
        <v>24</v>
      </c>
      <c r="C247">
        <v>3</v>
      </c>
      <c r="D247">
        <v>78</v>
      </c>
      <c r="E247">
        <v>32</v>
      </c>
      <c r="F247">
        <v>32</v>
      </c>
      <c r="G247">
        <v>32</v>
      </c>
      <c r="H247">
        <v>32</v>
      </c>
      <c r="I247">
        <v>17</v>
      </c>
      <c r="J247">
        <v>17</v>
      </c>
      <c r="K247">
        <v>0</v>
      </c>
      <c r="L247">
        <v>32</v>
      </c>
      <c r="M247">
        <v>0.59330000000000005</v>
      </c>
      <c r="N247">
        <v>65536</v>
      </c>
      <c r="O247">
        <v>18496</v>
      </c>
      <c r="P247">
        <v>0.71779999999999999</v>
      </c>
      <c r="Q247">
        <v>64</v>
      </c>
      <c r="R247">
        <v>86.2</v>
      </c>
      <c r="S247" t="b">
        <v>1</v>
      </c>
      <c r="T247">
        <v>0.91428571400000003</v>
      </c>
      <c r="U247">
        <v>245</v>
      </c>
      <c r="V247">
        <f>Table1[[#This Row],[orig_m]]+Table1[[#This Row],[orig_n]]+Table1[[#This Row],[orig_k]]-2</f>
        <v>94</v>
      </c>
      <c r="W247">
        <f>Table1[[#This Row],[Dense Baseline]]-Table1[[#This Row],[cycles]]</f>
        <v>30</v>
      </c>
      <c r="X247">
        <f>(Table1[[#This Row],[eff_macs]]/Table1[[#This Row],[cycles]])*0.07</f>
        <v>20.23</v>
      </c>
      <c r="Y247">
        <f>(Table1[[#This Row],[orig_macs]]/Table1[[#This Row],[cycles]])*0.07</f>
        <v>71.680000000000007</v>
      </c>
      <c r="Z247">
        <f>(Table1[[#This Row],[Dense-Equivalent Throughput (GOPS)]] / IF(Table1[[#This Row],[config]]=0,144781,7618)) * 1000</f>
        <v>0.49509258811584395</v>
      </c>
      <c r="AA247">
        <f>(Table1[[#This Row],[Dense-Equivalent Throughput (GOPS)]] / 654.74 )/ IF(Table1[[#This Row],[config]]=0, 42381, 7618) * 10^9</f>
        <v>2583.1993498681145</v>
      </c>
      <c r="AB247">
        <f>IF(Table1[[#This Row],[config]]=0, 2860, 2210) * (Table1[[#This Row],[cycles]] / 70) / 1000</f>
        <v>2.6148571428571428</v>
      </c>
    </row>
    <row r="248" spans="1:28" x14ac:dyDescent="0.25">
      <c r="A248" t="s">
        <v>20</v>
      </c>
      <c r="B248" t="s">
        <v>24</v>
      </c>
      <c r="C248">
        <v>3</v>
      </c>
      <c r="D248">
        <v>79</v>
      </c>
      <c r="E248">
        <v>32</v>
      </c>
      <c r="F248">
        <v>32</v>
      </c>
      <c r="G248">
        <v>32</v>
      </c>
      <c r="H248">
        <v>31</v>
      </c>
      <c r="I248">
        <v>18</v>
      </c>
      <c r="J248">
        <v>18</v>
      </c>
      <c r="K248">
        <v>0</v>
      </c>
      <c r="L248">
        <v>32</v>
      </c>
      <c r="M248">
        <v>0.56930000000000003</v>
      </c>
      <c r="N248">
        <v>65536</v>
      </c>
      <c r="O248">
        <v>20088</v>
      </c>
      <c r="P248">
        <v>0.69350000000000001</v>
      </c>
      <c r="Q248">
        <v>65</v>
      </c>
      <c r="R248">
        <v>42.6</v>
      </c>
      <c r="S248" t="b">
        <v>1</v>
      </c>
      <c r="T248">
        <v>0.928571429</v>
      </c>
      <c r="U248">
        <v>246</v>
      </c>
      <c r="V248">
        <f>Table1[[#This Row],[orig_m]]+Table1[[#This Row],[orig_n]]+Table1[[#This Row],[orig_k]]-2</f>
        <v>94</v>
      </c>
      <c r="W248">
        <f>Table1[[#This Row],[Dense Baseline]]-Table1[[#This Row],[cycles]]</f>
        <v>29</v>
      </c>
      <c r="X248">
        <f>(Table1[[#This Row],[eff_macs]]/Table1[[#This Row],[cycles]])*0.07</f>
        <v>21.633230769230771</v>
      </c>
      <c r="Y248">
        <f>(Table1[[#This Row],[orig_macs]]/Table1[[#This Row],[cycles]])*0.07</f>
        <v>70.577230769230781</v>
      </c>
      <c r="Z248">
        <f>(Table1[[#This Row],[Dense-Equivalent Throughput (GOPS)]] / IF(Table1[[#This Row],[config]]=0,144781,7618)) * 1000</f>
        <v>0.48747577906790795</v>
      </c>
      <c r="AA248">
        <f>(Table1[[#This Row],[Dense-Equivalent Throughput (GOPS)]] / 654.74 )/ IF(Table1[[#This Row],[config]]=0, 42381, 7618) * 10^9</f>
        <v>2543.457821408605</v>
      </c>
      <c r="AB248">
        <f>IF(Table1[[#This Row],[config]]=0, 2860, 2210) * (Table1[[#This Row],[cycles]] / 70) / 1000</f>
        <v>2.6557142857142857</v>
      </c>
    </row>
    <row r="249" spans="1:28" x14ac:dyDescent="0.25">
      <c r="A249" t="s">
        <v>20</v>
      </c>
      <c r="B249" t="s">
        <v>24</v>
      </c>
      <c r="C249">
        <v>3</v>
      </c>
      <c r="D249">
        <v>80</v>
      </c>
      <c r="E249">
        <v>32</v>
      </c>
      <c r="F249">
        <v>32</v>
      </c>
      <c r="G249">
        <v>32</v>
      </c>
      <c r="H249">
        <v>31</v>
      </c>
      <c r="I249">
        <v>18</v>
      </c>
      <c r="J249">
        <v>18</v>
      </c>
      <c r="K249">
        <v>0</v>
      </c>
      <c r="L249">
        <v>32</v>
      </c>
      <c r="M249">
        <v>0.56930000000000003</v>
      </c>
      <c r="N249">
        <v>65536</v>
      </c>
      <c r="O249">
        <v>20088</v>
      </c>
      <c r="P249">
        <v>0.69350000000000001</v>
      </c>
      <c r="Q249">
        <v>65</v>
      </c>
      <c r="R249">
        <v>49</v>
      </c>
      <c r="S249" t="b">
        <v>1</v>
      </c>
      <c r="T249">
        <v>0.928571429</v>
      </c>
      <c r="U249">
        <v>247</v>
      </c>
      <c r="V249">
        <f>Table1[[#This Row],[orig_m]]+Table1[[#This Row],[orig_n]]+Table1[[#This Row],[orig_k]]-2</f>
        <v>94</v>
      </c>
      <c r="W249">
        <f>Table1[[#This Row],[Dense Baseline]]-Table1[[#This Row],[cycles]]</f>
        <v>29</v>
      </c>
      <c r="X249">
        <f>(Table1[[#This Row],[eff_macs]]/Table1[[#This Row],[cycles]])*0.07</f>
        <v>21.633230769230771</v>
      </c>
      <c r="Y249">
        <f>(Table1[[#This Row],[orig_macs]]/Table1[[#This Row],[cycles]])*0.07</f>
        <v>70.577230769230781</v>
      </c>
      <c r="Z249">
        <f>(Table1[[#This Row],[Dense-Equivalent Throughput (GOPS)]] / IF(Table1[[#This Row],[config]]=0,144781,7618)) * 1000</f>
        <v>0.48747577906790795</v>
      </c>
      <c r="AA249">
        <f>(Table1[[#This Row],[Dense-Equivalent Throughput (GOPS)]] / 654.74 )/ IF(Table1[[#This Row],[config]]=0, 42381, 7618) * 10^9</f>
        <v>2543.457821408605</v>
      </c>
      <c r="AB249">
        <f>IF(Table1[[#This Row],[config]]=0, 2860, 2210) * (Table1[[#This Row],[cycles]] / 70) / 1000</f>
        <v>2.6557142857142857</v>
      </c>
    </row>
    <row r="250" spans="1:28" x14ac:dyDescent="0.25">
      <c r="A250" t="s">
        <v>20</v>
      </c>
      <c r="B250" t="s">
        <v>24</v>
      </c>
      <c r="C250">
        <v>3</v>
      </c>
      <c r="D250">
        <v>81</v>
      </c>
      <c r="E250">
        <v>32</v>
      </c>
      <c r="F250">
        <v>32</v>
      </c>
      <c r="G250">
        <v>32</v>
      </c>
      <c r="H250">
        <v>31</v>
      </c>
      <c r="I250">
        <v>22</v>
      </c>
      <c r="J250">
        <v>18</v>
      </c>
      <c r="K250">
        <v>0</v>
      </c>
      <c r="L250">
        <v>32</v>
      </c>
      <c r="M250">
        <v>0.53420000000000001</v>
      </c>
      <c r="N250">
        <v>65536</v>
      </c>
      <c r="O250">
        <v>24552</v>
      </c>
      <c r="P250">
        <v>0.62539999999999996</v>
      </c>
      <c r="Q250">
        <v>69</v>
      </c>
      <c r="R250">
        <v>50.4</v>
      </c>
      <c r="S250" t="b">
        <v>1</v>
      </c>
      <c r="T250">
        <v>0.985714286</v>
      </c>
      <c r="U250">
        <v>248</v>
      </c>
      <c r="V250">
        <f>Table1[[#This Row],[orig_m]]+Table1[[#This Row],[orig_n]]+Table1[[#This Row],[orig_k]]-2</f>
        <v>94</v>
      </c>
      <c r="W250">
        <f>Table1[[#This Row],[Dense Baseline]]-Table1[[#This Row],[cycles]]</f>
        <v>25</v>
      </c>
      <c r="X250">
        <f>(Table1[[#This Row],[eff_macs]]/Table1[[#This Row],[cycles]])*0.07</f>
        <v>24.907826086956526</v>
      </c>
      <c r="Y250">
        <f>(Table1[[#This Row],[orig_macs]]/Table1[[#This Row],[cycles]])*0.07</f>
        <v>66.485797101449279</v>
      </c>
      <c r="Z250">
        <f>(Table1[[#This Row],[Dense-Equivalent Throughput (GOPS)]] / IF(Table1[[#This Row],[config]]=0,144781,7618)) * 1000</f>
        <v>0.45921631361469584</v>
      </c>
      <c r="AA250">
        <f>(Table1[[#This Row],[Dense-Equivalent Throughput (GOPS)]] / 654.74 )/ IF(Table1[[#This Row],[config]]=0, 42381, 7618) * 10^9</f>
        <v>2396.0109911820191</v>
      </c>
      <c r="AB250">
        <f>IF(Table1[[#This Row],[config]]=0, 2860, 2210) * (Table1[[#This Row],[cycles]] / 70) / 1000</f>
        <v>2.8191428571428574</v>
      </c>
    </row>
    <row r="251" spans="1:28" x14ac:dyDescent="0.25">
      <c r="A251" t="s">
        <v>20</v>
      </c>
      <c r="B251" t="s">
        <v>24</v>
      </c>
      <c r="C251">
        <v>3</v>
      </c>
      <c r="D251">
        <v>82</v>
      </c>
      <c r="E251">
        <v>32</v>
      </c>
      <c r="F251">
        <v>32</v>
      </c>
      <c r="G251">
        <v>32</v>
      </c>
      <c r="H251">
        <v>31</v>
      </c>
      <c r="I251">
        <v>13</v>
      </c>
      <c r="J251">
        <v>18</v>
      </c>
      <c r="K251">
        <v>0</v>
      </c>
      <c r="L251">
        <v>32</v>
      </c>
      <c r="M251">
        <v>0.61329999999999996</v>
      </c>
      <c r="N251">
        <v>65536</v>
      </c>
      <c r="O251">
        <v>14508</v>
      </c>
      <c r="P251">
        <v>0.77859999999999996</v>
      </c>
      <c r="Q251">
        <v>60</v>
      </c>
      <c r="R251">
        <v>50</v>
      </c>
      <c r="S251" t="b">
        <v>1</v>
      </c>
      <c r="T251">
        <v>0.85714285700000004</v>
      </c>
      <c r="U251">
        <v>249</v>
      </c>
      <c r="V251">
        <f>Table1[[#This Row],[orig_m]]+Table1[[#This Row],[orig_n]]+Table1[[#This Row],[orig_k]]-2</f>
        <v>94</v>
      </c>
      <c r="W251">
        <f>Table1[[#This Row],[Dense Baseline]]-Table1[[#This Row],[cycles]]</f>
        <v>34</v>
      </c>
      <c r="X251">
        <f>(Table1[[#This Row],[eff_macs]]/Table1[[#This Row],[cycles]])*0.07</f>
        <v>16.926000000000002</v>
      </c>
      <c r="Y251">
        <f>(Table1[[#This Row],[orig_macs]]/Table1[[#This Row],[cycles]])*0.07</f>
        <v>76.458666666666673</v>
      </c>
      <c r="Z251">
        <f>(Table1[[#This Row],[Dense-Equivalent Throughput (GOPS)]] / IF(Table1[[#This Row],[config]]=0,144781,7618)) * 1000</f>
        <v>0.52809876065690031</v>
      </c>
      <c r="AA251">
        <f>(Table1[[#This Row],[Dense-Equivalent Throughput (GOPS)]] / 654.74 )/ IF(Table1[[#This Row],[config]]=0, 42381, 7618) * 10^9</f>
        <v>2755.4126398593216</v>
      </c>
      <c r="AB251">
        <f>IF(Table1[[#This Row],[config]]=0, 2860, 2210) * (Table1[[#This Row],[cycles]] / 70) / 1000</f>
        <v>2.4514285714285711</v>
      </c>
    </row>
    <row r="252" spans="1:28" x14ac:dyDescent="0.25">
      <c r="A252" t="s">
        <v>20</v>
      </c>
      <c r="B252" t="s">
        <v>24</v>
      </c>
      <c r="C252">
        <v>3</v>
      </c>
      <c r="D252">
        <v>83</v>
      </c>
      <c r="E252">
        <v>32</v>
      </c>
      <c r="F252">
        <v>32</v>
      </c>
      <c r="G252">
        <v>32</v>
      </c>
      <c r="H252">
        <v>31</v>
      </c>
      <c r="I252">
        <v>18</v>
      </c>
      <c r="J252">
        <v>18</v>
      </c>
      <c r="K252">
        <v>0</v>
      </c>
      <c r="L252">
        <v>32</v>
      </c>
      <c r="M252">
        <v>0.56930000000000003</v>
      </c>
      <c r="N252">
        <v>65536</v>
      </c>
      <c r="O252">
        <v>20088</v>
      </c>
      <c r="P252">
        <v>0.69350000000000001</v>
      </c>
      <c r="Q252">
        <v>65</v>
      </c>
      <c r="R252">
        <v>49.5</v>
      </c>
      <c r="S252" t="b">
        <v>1</v>
      </c>
      <c r="T252">
        <v>0.928571429</v>
      </c>
      <c r="U252">
        <v>250</v>
      </c>
      <c r="V252">
        <f>Table1[[#This Row],[orig_m]]+Table1[[#This Row],[orig_n]]+Table1[[#This Row],[orig_k]]-2</f>
        <v>94</v>
      </c>
      <c r="W252">
        <f>Table1[[#This Row],[Dense Baseline]]-Table1[[#This Row],[cycles]]</f>
        <v>29</v>
      </c>
      <c r="X252">
        <f>(Table1[[#This Row],[eff_macs]]/Table1[[#This Row],[cycles]])*0.07</f>
        <v>21.633230769230771</v>
      </c>
      <c r="Y252">
        <f>(Table1[[#This Row],[orig_macs]]/Table1[[#This Row],[cycles]])*0.07</f>
        <v>70.577230769230781</v>
      </c>
      <c r="Z252">
        <f>(Table1[[#This Row],[Dense-Equivalent Throughput (GOPS)]] / IF(Table1[[#This Row],[config]]=0,144781,7618)) * 1000</f>
        <v>0.48747577906790795</v>
      </c>
      <c r="AA252">
        <f>(Table1[[#This Row],[Dense-Equivalent Throughput (GOPS)]] / 654.74 )/ IF(Table1[[#This Row],[config]]=0, 42381, 7618) * 10^9</f>
        <v>2543.457821408605</v>
      </c>
      <c r="AB252">
        <f>IF(Table1[[#This Row],[config]]=0, 2860, 2210) * (Table1[[#This Row],[cycles]] / 70) / 1000</f>
        <v>2.6557142857142857</v>
      </c>
    </row>
    <row r="253" spans="1:28" x14ac:dyDescent="0.25">
      <c r="A253" t="s">
        <v>20</v>
      </c>
      <c r="B253" t="s">
        <v>24</v>
      </c>
      <c r="C253">
        <v>3</v>
      </c>
      <c r="D253">
        <v>84</v>
      </c>
      <c r="E253">
        <v>32</v>
      </c>
      <c r="F253">
        <v>32</v>
      </c>
      <c r="G253">
        <v>32</v>
      </c>
      <c r="H253">
        <v>31</v>
      </c>
      <c r="I253">
        <v>17</v>
      </c>
      <c r="J253">
        <v>18</v>
      </c>
      <c r="K253">
        <v>0</v>
      </c>
      <c r="L253">
        <v>32</v>
      </c>
      <c r="M253">
        <v>0.57809999999999995</v>
      </c>
      <c r="N253">
        <v>65536</v>
      </c>
      <c r="O253">
        <v>18972</v>
      </c>
      <c r="P253">
        <v>0.71050000000000002</v>
      </c>
      <c r="Q253">
        <v>64</v>
      </c>
      <c r="R253">
        <v>115.3</v>
      </c>
      <c r="S253" t="b">
        <v>1</v>
      </c>
      <c r="T253">
        <v>0.91428571400000003</v>
      </c>
      <c r="U253">
        <v>251</v>
      </c>
      <c r="V253">
        <f>Table1[[#This Row],[orig_m]]+Table1[[#This Row],[orig_n]]+Table1[[#This Row],[orig_k]]-2</f>
        <v>94</v>
      </c>
      <c r="W253">
        <f>Table1[[#This Row],[Dense Baseline]]-Table1[[#This Row],[cycles]]</f>
        <v>30</v>
      </c>
      <c r="X253">
        <f>(Table1[[#This Row],[eff_macs]]/Table1[[#This Row],[cycles]])*0.07</f>
        <v>20.750625000000003</v>
      </c>
      <c r="Y253">
        <f>(Table1[[#This Row],[orig_macs]]/Table1[[#This Row],[cycles]])*0.07</f>
        <v>71.680000000000007</v>
      </c>
      <c r="Z253">
        <f>(Table1[[#This Row],[Dense-Equivalent Throughput (GOPS)]] / IF(Table1[[#This Row],[config]]=0,144781,7618)) * 1000</f>
        <v>0.49509258811584395</v>
      </c>
      <c r="AA253">
        <f>(Table1[[#This Row],[Dense-Equivalent Throughput (GOPS)]] / 654.74 )/ IF(Table1[[#This Row],[config]]=0, 42381, 7618) * 10^9</f>
        <v>2583.1993498681145</v>
      </c>
      <c r="AB253">
        <f>IF(Table1[[#This Row],[config]]=0, 2860, 2210) * (Table1[[#This Row],[cycles]] / 70) / 1000</f>
        <v>2.6148571428571428</v>
      </c>
    </row>
    <row r="254" spans="1:28" x14ac:dyDescent="0.25">
      <c r="A254" t="s">
        <v>20</v>
      </c>
      <c r="B254" t="s">
        <v>24</v>
      </c>
      <c r="C254">
        <v>3</v>
      </c>
      <c r="D254">
        <v>85</v>
      </c>
      <c r="E254">
        <v>32</v>
      </c>
      <c r="F254">
        <v>32</v>
      </c>
      <c r="G254">
        <v>32</v>
      </c>
      <c r="H254">
        <v>30</v>
      </c>
      <c r="I254">
        <v>18</v>
      </c>
      <c r="J254">
        <v>23</v>
      </c>
      <c r="K254">
        <v>0</v>
      </c>
      <c r="L254">
        <v>32</v>
      </c>
      <c r="M254">
        <v>0.46089999999999998</v>
      </c>
      <c r="N254">
        <v>65536</v>
      </c>
      <c r="O254">
        <v>24840</v>
      </c>
      <c r="P254">
        <v>0.621</v>
      </c>
      <c r="Q254">
        <v>69</v>
      </c>
      <c r="R254">
        <v>44.6</v>
      </c>
      <c r="S254" t="b">
        <v>1</v>
      </c>
      <c r="T254">
        <v>0.985714286</v>
      </c>
      <c r="U254">
        <v>252</v>
      </c>
      <c r="V254">
        <f>Table1[[#This Row],[orig_m]]+Table1[[#This Row],[orig_n]]+Table1[[#This Row],[orig_k]]-2</f>
        <v>94</v>
      </c>
      <c r="W254">
        <f>Table1[[#This Row],[Dense Baseline]]-Table1[[#This Row],[cycles]]</f>
        <v>25</v>
      </c>
      <c r="X254">
        <f>(Table1[[#This Row],[eff_macs]]/Table1[[#This Row],[cycles]])*0.07</f>
        <v>25.200000000000003</v>
      </c>
      <c r="Y254">
        <f>(Table1[[#This Row],[orig_macs]]/Table1[[#This Row],[cycles]])*0.07</f>
        <v>66.485797101449279</v>
      </c>
      <c r="Z254">
        <f>(Table1[[#This Row],[Dense-Equivalent Throughput (GOPS)]] / IF(Table1[[#This Row],[config]]=0,144781,7618)) * 1000</f>
        <v>0.45921631361469584</v>
      </c>
      <c r="AA254">
        <f>(Table1[[#This Row],[Dense-Equivalent Throughput (GOPS)]] / 654.74 )/ IF(Table1[[#This Row],[config]]=0, 42381, 7618) * 10^9</f>
        <v>2396.0109911820191</v>
      </c>
      <c r="AB254">
        <f>IF(Table1[[#This Row],[config]]=0, 2860, 2210) * (Table1[[#This Row],[cycles]] / 70) / 1000</f>
        <v>2.8191428571428574</v>
      </c>
    </row>
    <row r="255" spans="1:28" x14ac:dyDescent="0.25">
      <c r="A255" t="s">
        <v>20</v>
      </c>
      <c r="B255" t="s">
        <v>24</v>
      </c>
      <c r="C255">
        <v>3</v>
      </c>
      <c r="D255">
        <v>86</v>
      </c>
      <c r="E255">
        <v>32</v>
      </c>
      <c r="F255">
        <v>32</v>
      </c>
      <c r="G255">
        <v>32</v>
      </c>
      <c r="H255">
        <v>30</v>
      </c>
      <c r="I255">
        <v>18</v>
      </c>
      <c r="J255">
        <v>23</v>
      </c>
      <c r="K255">
        <v>0</v>
      </c>
      <c r="L255">
        <v>32</v>
      </c>
      <c r="M255">
        <v>0.46089999999999998</v>
      </c>
      <c r="N255">
        <v>65536</v>
      </c>
      <c r="O255">
        <v>24840</v>
      </c>
      <c r="P255">
        <v>0.621</v>
      </c>
      <c r="Q255">
        <v>69</v>
      </c>
      <c r="R255">
        <v>137.30000000000001</v>
      </c>
      <c r="S255" t="b">
        <v>1</v>
      </c>
      <c r="T255">
        <v>0.985714286</v>
      </c>
      <c r="U255">
        <v>253</v>
      </c>
      <c r="V255">
        <f>Table1[[#This Row],[orig_m]]+Table1[[#This Row],[orig_n]]+Table1[[#This Row],[orig_k]]-2</f>
        <v>94</v>
      </c>
      <c r="W255">
        <f>Table1[[#This Row],[Dense Baseline]]-Table1[[#This Row],[cycles]]</f>
        <v>25</v>
      </c>
      <c r="X255">
        <f>(Table1[[#This Row],[eff_macs]]/Table1[[#This Row],[cycles]])*0.07</f>
        <v>25.200000000000003</v>
      </c>
      <c r="Y255">
        <f>(Table1[[#This Row],[orig_macs]]/Table1[[#This Row],[cycles]])*0.07</f>
        <v>66.485797101449279</v>
      </c>
      <c r="Z255">
        <f>(Table1[[#This Row],[Dense-Equivalent Throughput (GOPS)]] / IF(Table1[[#This Row],[config]]=0,144781,7618)) * 1000</f>
        <v>0.45921631361469584</v>
      </c>
      <c r="AA255">
        <f>(Table1[[#This Row],[Dense-Equivalent Throughput (GOPS)]] / 654.74 )/ IF(Table1[[#This Row],[config]]=0, 42381, 7618) * 10^9</f>
        <v>2396.0109911820191</v>
      </c>
      <c r="AB255">
        <f>IF(Table1[[#This Row],[config]]=0, 2860, 2210) * (Table1[[#This Row],[cycles]] / 70) / 1000</f>
        <v>2.8191428571428574</v>
      </c>
    </row>
    <row r="256" spans="1:28" x14ac:dyDescent="0.25">
      <c r="A256" t="s">
        <v>20</v>
      </c>
      <c r="B256" t="s">
        <v>24</v>
      </c>
      <c r="C256">
        <v>3</v>
      </c>
      <c r="D256">
        <v>87</v>
      </c>
      <c r="E256">
        <v>32</v>
      </c>
      <c r="F256">
        <v>32</v>
      </c>
      <c r="G256">
        <v>32</v>
      </c>
      <c r="H256">
        <v>30</v>
      </c>
      <c r="I256">
        <v>22</v>
      </c>
      <c r="J256">
        <v>23</v>
      </c>
      <c r="K256">
        <v>0</v>
      </c>
      <c r="L256">
        <v>32</v>
      </c>
      <c r="M256">
        <v>0.41599999999999998</v>
      </c>
      <c r="N256">
        <v>65536</v>
      </c>
      <c r="O256">
        <v>30360</v>
      </c>
      <c r="P256">
        <v>0.53669999999999995</v>
      </c>
      <c r="Q256">
        <v>73</v>
      </c>
      <c r="R256">
        <v>61.1</v>
      </c>
      <c r="S256" t="b">
        <v>1</v>
      </c>
      <c r="T256">
        <v>1.042857143</v>
      </c>
      <c r="U256">
        <v>254</v>
      </c>
      <c r="V256">
        <f>Table1[[#This Row],[orig_m]]+Table1[[#This Row],[orig_n]]+Table1[[#This Row],[orig_k]]-2</f>
        <v>94</v>
      </c>
      <c r="W256">
        <f>Table1[[#This Row],[Dense Baseline]]-Table1[[#This Row],[cycles]]</f>
        <v>21</v>
      </c>
      <c r="X256">
        <f>(Table1[[#This Row],[eff_macs]]/Table1[[#This Row],[cycles]])*0.07</f>
        <v>29.112328767123291</v>
      </c>
      <c r="Y256">
        <f>(Table1[[#This Row],[orig_macs]]/Table1[[#This Row],[cycles]])*0.07</f>
        <v>62.842739726027396</v>
      </c>
      <c r="Z256">
        <f>(Table1[[#This Row],[Dense-Equivalent Throughput (GOPS)]] / IF(Table1[[#This Row],[config]]=0,144781,7618)) * 1000</f>
        <v>0.43405377588238375</v>
      </c>
      <c r="AA256">
        <f>(Table1[[#This Row],[Dense-Equivalent Throughput (GOPS)]] / 654.74 )/ IF(Table1[[#This Row],[config]]=0, 42381, 7618) * 10^9</f>
        <v>2264.7227176925931</v>
      </c>
      <c r="AB256">
        <f>IF(Table1[[#This Row],[config]]=0, 2860, 2210) * (Table1[[#This Row],[cycles]] / 70) / 1000</f>
        <v>2.9825714285714291</v>
      </c>
    </row>
    <row r="257" spans="1:28" x14ac:dyDescent="0.25">
      <c r="A257" t="s">
        <v>20</v>
      </c>
      <c r="B257" t="s">
        <v>24</v>
      </c>
      <c r="C257">
        <v>3</v>
      </c>
      <c r="D257">
        <v>88</v>
      </c>
      <c r="E257">
        <v>32</v>
      </c>
      <c r="F257">
        <v>32</v>
      </c>
      <c r="G257">
        <v>32</v>
      </c>
      <c r="H257">
        <v>30</v>
      </c>
      <c r="I257">
        <v>13</v>
      </c>
      <c r="J257">
        <v>23</v>
      </c>
      <c r="K257">
        <v>0</v>
      </c>
      <c r="L257">
        <v>32</v>
      </c>
      <c r="M257">
        <v>0.5171</v>
      </c>
      <c r="N257">
        <v>65536</v>
      </c>
      <c r="O257">
        <v>17940</v>
      </c>
      <c r="P257">
        <v>0.72629999999999995</v>
      </c>
      <c r="Q257">
        <v>64</v>
      </c>
      <c r="R257">
        <v>47.4</v>
      </c>
      <c r="S257" t="b">
        <v>1</v>
      </c>
      <c r="T257">
        <v>0.91428571400000003</v>
      </c>
      <c r="U257">
        <v>255</v>
      </c>
      <c r="V257">
        <f>Table1[[#This Row],[orig_m]]+Table1[[#This Row],[orig_n]]+Table1[[#This Row],[orig_k]]-2</f>
        <v>94</v>
      </c>
      <c r="W257">
        <f>Table1[[#This Row],[Dense Baseline]]-Table1[[#This Row],[cycles]]</f>
        <v>30</v>
      </c>
      <c r="X257">
        <f>(Table1[[#This Row],[eff_macs]]/Table1[[#This Row],[cycles]])*0.07</f>
        <v>19.621875000000003</v>
      </c>
      <c r="Y257">
        <f>(Table1[[#This Row],[orig_macs]]/Table1[[#This Row],[cycles]])*0.07</f>
        <v>71.680000000000007</v>
      </c>
      <c r="Z257">
        <f>(Table1[[#This Row],[Dense-Equivalent Throughput (GOPS)]] / IF(Table1[[#This Row],[config]]=0,144781,7618)) * 1000</f>
        <v>0.49509258811584395</v>
      </c>
      <c r="AA257">
        <f>(Table1[[#This Row],[Dense-Equivalent Throughput (GOPS)]] / 654.74 )/ IF(Table1[[#This Row],[config]]=0, 42381, 7618) * 10^9</f>
        <v>2583.1993498681145</v>
      </c>
      <c r="AB257">
        <f>IF(Table1[[#This Row],[config]]=0, 2860, 2210) * (Table1[[#This Row],[cycles]] / 70) / 1000</f>
        <v>2.6148571428571428</v>
      </c>
    </row>
    <row r="258" spans="1:28" x14ac:dyDescent="0.25">
      <c r="A258" t="s">
        <v>20</v>
      </c>
      <c r="B258" t="s">
        <v>24</v>
      </c>
      <c r="C258">
        <v>3</v>
      </c>
      <c r="D258">
        <v>89</v>
      </c>
      <c r="E258">
        <v>32</v>
      </c>
      <c r="F258">
        <v>32</v>
      </c>
      <c r="G258">
        <v>32</v>
      </c>
      <c r="H258">
        <v>30</v>
      </c>
      <c r="I258">
        <v>18</v>
      </c>
      <c r="J258">
        <v>23</v>
      </c>
      <c r="K258">
        <v>0</v>
      </c>
      <c r="L258">
        <v>32</v>
      </c>
      <c r="M258">
        <v>0.46089999999999998</v>
      </c>
      <c r="N258">
        <v>65536</v>
      </c>
      <c r="O258">
        <v>24840</v>
      </c>
      <c r="P258">
        <v>0.621</v>
      </c>
      <c r="Q258">
        <v>69</v>
      </c>
      <c r="R258">
        <v>54.8</v>
      </c>
      <c r="S258" t="b">
        <v>1</v>
      </c>
      <c r="T258">
        <v>0.985714286</v>
      </c>
      <c r="U258">
        <v>256</v>
      </c>
      <c r="V258">
        <f>Table1[[#This Row],[orig_m]]+Table1[[#This Row],[orig_n]]+Table1[[#This Row],[orig_k]]-2</f>
        <v>94</v>
      </c>
      <c r="W258">
        <f>Table1[[#This Row],[Dense Baseline]]-Table1[[#This Row],[cycles]]</f>
        <v>25</v>
      </c>
      <c r="X258">
        <f>(Table1[[#This Row],[eff_macs]]/Table1[[#This Row],[cycles]])*0.07</f>
        <v>25.200000000000003</v>
      </c>
      <c r="Y258">
        <f>(Table1[[#This Row],[orig_macs]]/Table1[[#This Row],[cycles]])*0.07</f>
        <v>66.485797101449279</v>
      </c>
      <c r="Z258">
        <f>(Table1[[#This Row],[Dense-Equivalent Throughput (GOPS)]] / IF(Table1[[#This Row],[config]]=0,144781,7618)) * 1000</f>
        <v>0.45921631361469584</v>
      </c>
      <c r="AA258">
        <f>(Table1[[#This Row],[Dense-Equivalent Throughput (GOPS)]] / 654.74 )/ IF(Table1[[#This Row],[config]]=0, 42381, 7618) * 10^9</f>
        <v>2396.0109911820191</v>
      </c>
      <c r="AB258">
        <f>IF(Table1[[#This Row],[config]]=0, 2860, 2210) * (Table1[[#This Row],[cycles]] / 70) / 1000</f>
        <v>2.8191428571428574</v>
      </c>
    </row>
    <row r="259" spans="1:28" x14ac:dyDescent="0.25">
      <c r="A259" t="s">
        <v>20</v>
      </c>
      <c r="B259" t="s">
        <v>24</v>
      </c>
      <c r="C259">
        <v>3</v>
      </c>
      <c r="D259">
        <v>90</v>
      </c>
      <c r="E259">
        <v>32</v>
      </c>
      <c r="F259">
        <v>32</v>
      </c>
      <c r="G259">
        <v>32</v>
      </c>
      <c r="H259">
        <v>30</v>
      </c>
      <c r="I259">
        <v>17</v>
      </c>
      <c r="J259">
        <v>23</v>
      </c>
      <c r="K259">
        <v>0</v>
      </c>
      <c r="L259">
        <v>32</v>
      </c>
      <c r="M259">
        <v>0.47220000000000001</v>
      </c>
      <c r="N259">
        <v>65536</v>
      </c>
      <c r="O259">
        <v>23460</v>
      </c>
      <c r="P259">
        <v>0.64200000000000002</v>
      </c>
      <c r="Q259">
        <v>68</v>
      </c>
      <c r="R259">
        <v>62</v>
      </c>
      <c r="S259" t="b">
        <v>1</v>
      </c>
      <c r="T259">
        <v>0.97142857100000002</v>
      </c>
      <c r="U259">
        <v>257</v>
      </c>
      <c r="V259">
        <f>Table1[[#This Row],[orig_m]]+Table1[[#This Row],[orig_n]]+Table1[[#This Row],[orig_k]]-2</f>
        <v>94</v>
      </c>
      <c r="W259">
        <f>Table1[[#This Row],[Dense Baseline]]-Table1[[#This Row],[cycles]]</f>
        <v>26</v>
      </c>
      <c r="X259">
        <f>(Table1[[#This Row],[eff_macs]]/Table1[[#This Row],[cycles]])*0.07</f>
        <v>24.150000000000002</v>
      </c>
      <c r="Y259">
        <f>(Table1[[#This Row],[orig_macs]]/Table1[[#This Row],[cycles]])*0.07</f>
        <v>67.463529411764711</v>
      </c>
      <c r="Z259">
        <f>(Table1[[#This Row],[Dense-Equivalent Throughput (GOPS)]] / IF(Table1[[#This Row],[config]]=0,144781,7618)) * 1000</f>
        <v>0.4659694946972649</v>
      </c>
      <c r="AA259">
        <f>(Table1[[#This Row],[Dense-Equivalent Throughput (GOPS)]] / 654.74 )/ IF(Table1[[#This Row],[config]]=0, 42381, 7618) * 10^9</f>
        <v>2431.246446934696</v>
      </c>
      <c r="AB259">
        <f>IF(Table1[[#This Row],[config]]=0, 2860, 2210) * (Table1[[#This Row],[cycles]] / 70) / 1000</f>
        <v>2.778285714285714</v>
      </c>
    </row>
    <row r="260" spans="1:28" x14ac:dyDescent="0.25">
      <c r="A260" t="s">
        <v>20</v>
      </c>
      <c r="B260" t="s">
        <v>24</v>
      </c>
      <c r="C260">
        <v>3</v>
      </c>
      <c r="D260">
        <v>91</v>
      </c>
      <c r="E260">
        <v>32</v>
      </c>
      <c r="F260">
        <v>32</v>
      </c>
      <c r="G260">
        <v>32</v>
      </c>
      <c r="H260">
        <v>29</v>
      </c>
      <c r="I260">
        <v>18</v>
      </c>
      <c r="J260">
        <v>25</v>
      </c>
      <c r="K260">
        <v>0</v>
      </c>
      <c r="L260">
        <v>32</v>
      </c>
      <c r="M260">
        <v>0.42630000000000001</v>
      </c>
      <c r="N260">
        <v>65536</v>
      </c>
      <c r="O260">
        <v>26100</v>
      </c>
      <c r="P260">
        <v>0.60170000000000001</v>
      </c>
      <c r="Q260">
        <v>70</v>
      </c>
      <c r="R260">
        <v>47.4</v>
      </c>
      <c r="S260" t="b">
        <v>1</v>
      </c>
      <c r="T260">
        <v>1</v>
      </c>
      <c r="U260">
        <v>258</v>
      </c>
      <c r="V260">
        <f>Table1[[#This Row],[orig_m]]+Table1[[#This Row],[orig_n]]+Table1[[#This Row],[orig_k]]-2</f>
        <v>94</v>
      </c>
      <c r="W260">
        <f>Table1[[#This Row],[Dense Baseline]]-Table1[[#This Row],[cycles]]</f>
        <v>24</v>
      </c>
      <c r="X260">
        <f>(Table1[[#This Row],[eff_macs]]/Table1[[#This Row],[cycles]])*0.07</f>
        <v>26.1</v>
      </c>
      <c r="Y260">
        <f>(Table1[[#This Row],[orig_macs]]/Table1[[#This Row],[cycles]])*0.07</f>
        <v>65.536000000000001</v>
      </c>
      <c r="Z260">
        <f>(Table1[[#This Row],[Dense-Equivalent Throughput (GOPS)]] / IF(Table1[[#This Row],[config]]=0,144781,7618)) * 1000</f>
        <v>0.45265608056305734</v>
      </c>
      <c r="AA260">
        <f>(Table1[[#This Row],[Dense-Equivalent Throughput (GOPS)]] / 654.74 )/ IF(Table1[[#This Row],[config]]=0, 42381, 7618) * 10^9</f>
        <v>2361.7822627365617</v>
      </c>
      <c r="AB260">
        <f>IF(Table1[[#This Row],[config]]=0, 2860, 2210) * (Table1[[#This Row],[cycles]] / 70) / 1000</f>
        <v>2.86</v>
      </c>
    </row>
    <row r="261" spans="1:28" x14ac:dyDescent="0.25">
      <c r="A261" t="s">
        <v>20</v>
      </c>
      <c r="B261" t="s">
        <v>24</v>
      </c>
      <c r="C261">
        <v>3</v>
      </c>
      <c r="D261">
        <v>92</v>
      </c>
      <c r="E261">
        <v>32</v>
      </c>
      <c r="F261">
        <v>32</v>
      </c>
      <c r="G261">
        <v>32</v>
      </c>
      <c r="H261">
        <v>29</v>
      </c>
      <c r="I261">
        <v>18</v>
      </c>
      <c r="J261">
        <v>25</v>
      </c>
      <c r="K261">
        <v>0</v>
      </c>
      <c r="L261">
        <v>32</v>
      </c>
      <c r="M261">
        <v>0.42630000000000001</v>
      </c>
      <c r="N261">
        <v>65536</v>
      </c>
      <c r="O261">
        <v>26100</v>
      </c>
      <c r="P261">
        <v>0.60170000000000001</v>
      </c>
      <c r="Q261">
        <v>70</v>
      </c>
      <c r="R261">
        <v>48.1</v>
      </c>
      <c r="S261" t="b">
        <v>1</v>
      </c>
      <c r="T261">
        <v>1</v>
      </c>
      <c r="U261">
        <v>259</v>
      </c>
      <c r="V261">
        <f>Table1[[#This Row],[orig_m]]+Table1[[#This Row],[orig_n]]+Table1[[#This Row],[orig_k]]-2</f>
        <v>94</v>
      </c>
      <c r="W261">
        <f>Table1[[#This Row],[Dense Baseline]]-Table1[[#This Row],[cycles]]</f>
        <v>24</v>
      </c>
      <c r="X261">
        <f>(Table1[[#This Row],[eff_macs]]/Table1[[#This Row],[cycles]])*0.07</f>
        <v>26.1</v>
      </c>
      <c r="Y261">
        <f>(Table1[[#This Row],[orig_macs]]/Table1[[#This Row],[cycles]])*0.07</f>
        <v>65.536000000000001</v>
      </c>
      <c r="Z261">
        <f>(Table1[[#This Row],[Dense-Equivalent Throughput (GOPS)]] / IF(Table1[[#This Row],[config]]=0,144781,7618)) * 1000</f>
        <v>0.45265608056305734</v>
      </c>
      <c r="AA261">
        <f>(Table1[[#This Row],[Dense-Equivalent Throughput (GOPS)]] / 654.74 )/ IF(Table1[[#This Row],[config]]=0, 42381, 7618) * 10^9</f>
        <v>2361.7822627365617</v>
      </c>
      <c r="AB261">
        <f>IF(Table1[[#This Row],[config]]=0, 2860, 2210) * (Table1[[#This Row],[cycles]] / 70) / 1000</f>
        <v>2.86</v>
      </c>
    </row>
    <row r="262" spans="1:28" x14ac:dyDescent="0.25">
      <c r="A262" t="s">
        <v>20</v>
      </c>
      <c r="B262" t="s">
        <v>24</v>
      </c>
      <c r="C262">
        <v>3</v>
      </c>
      <c r="D262">
        <v>93</v>
      </c>
      <c r="E262">
        <v>32</v>
      </c>
      <c r="F262">
        <v>32</v>
      </c>
      <c r="G262">
        <v>32</v>
      </c>
      <c r="H262">
        <v>29</v>
      </c>
      <c r="I262">
        <v>22</v>
      </c>
      <c r="J262">
        <v>25</v>
      </c>
      <c r="K262">
        <v>0</v>
      </c>
      <c r="L262">
        <v>32</v>
      </c>
      <c r="M262">
        <v>0.37740000000000001</v>
      </c>
      <c r="N262">
        <v>65536</v>
      </c>
      <c r="O262">
        <v>31900</v>
      </c>
      <c r="P262">
        <v>0.51319999999999999</v>
      </c>
      <c r="Q262">
        <v>74</v>
      </c>
      <c r="R262">
        <v>48.2</v>
      </c>
      <c r="S262" t="b">
        <v>1</v>
      </c>
      <c r="T262">
        <v>1.0571428570000001</v>
      </c>
      <c r="U262">
        <v>260</v>
      </c>
      <c r="V262">
        <f>Table1[[#This Row],[orig_m]]+Table1[[#This Row],[orig_n]]+Table1[[#This Row],[orig_k]]-2</f>
        <v>94</v>
      </c>
      <c r="W262">
        <f>Table1[[#This Row],[Dense Baseline]]-Table1[[#This Row],[cycles]]</f>
        <v>20</v>
      </c>
      <c r="X262">
        <f>(Table1[[#This Row],[eff_macs]]/Table1[[#This Row],[cycles]])*0.07</f>
        <v>30.175675675675681</v>
      </c>
      <c r="Y262">
        <f>(Table1[[#This Row],[orig_macs]]/Table1[[#This Row],[cycles]])*0.07</f>
        <v>61.99351351351352</v>
      </c>
      <c r="Z262">
        <f>(Table1[[#This Row],[Dense-Equivalent Throughput (GOPS)]] / IF(Table1[[#This Row],[config]]=0,144781,7618)) * 1000</f>
        <v>0.4281881843164056</v>
      </c>
      <c r="AA262">
        <f>(Table1[[#This Row],[Dense-Equivalent Throughput (GOPS)]] / 654.74 )/ IF(Table1[[#This Row],[config]]=0, 42381, 7618) * 10^9</f>
        <v>2234.1183566426935</v>
      </c>
      <c r="AB262">
        <f>IF(Table1[[#This Row],[config]]=0, 2860, 2210) * (Table1[[#This Row],[cycles]] / 70) / 1000</f>
        <v>3.0234285714285716</v>
      </c>
    </row>
    <row r="263" spans="1:28" x14ac:dyDescent="0.25">
      <c r="A263" t="s">
        <v>20</v>
      </c>
      <c r="B263" t="s">
        <v>24</v>
      </c>
      <c r="C263">
        <v>3</v>
      </c>
      <c r="D263">
        <v>94</v>
      </c>
      <c r="E263">
        <v>32</v>
      </c>
      <c r="F263">
        <v>32</v>
      </c>
      <c r="G263">
        <v>32</v>
      </c>
      <c r="H263">
        <v>29</v>
      </c>
      <c r="I263">
        <v>13</v>
      </c>
      <c r="J263">
        <v>25</v>
      </c>
      <c r="K263">
        <v>0</v>
      </c>
      <c r="L263">
        <v>32</v>
      </c>
      <c r="M263">
        <v>0.48730000000000001</v>
      </c>
      <c r="N263">
        <v>65536</v>
      </c>
      <c r="O263">
        <v>18850</v>
      </c>
      <c r="P263">
        <v>0.71240000000000003</v>
      </c>
      <c r="Q263">
        <v>65</v>
      </c>
      <c r="R263">
        <v>52.1</v>
      </c>
      <c r="S263" t="b">
        <v>1</v>
      </c>
      <c r="T263">
        <v>0.928571429</v>
      </c>
      <c r="U263">
        <v>261</v>
      </c>
      <c r="V263">
        <f>Table1[[#This Row],[orig_m]]+Table1[[#This Row],[orig_n]]+Table1[[#This Row],[orig_k]]-2</f>
        <v>94</v>
      </c>
      <c r="W263">
        <f>Table1[[#This Row],[Dense Baseline]]-Table1[[#This Row],[cycles]]</f>
        <v>29</v>
      </c>
      <c r="X263">
        <f>(Table1[[#This Row],[eff_macs]]/Table1[[#This Row],[cycles]])*0.07</f>
        <v>20.3</v>
      </c>
      <c r="Y263">
        <f>(Table1[[#This Row],[orig_macs]]/Table1[[#This Row],[cycles]])*0.07</f>
        <v>70.577230769230781</v>
      </c>
      <c r="Z263">
        <f>(Table1[[#This Row],[Dense-Equivalent Throughput (GOPS)]] / IF(Table1[[#This Row],[config]]=0,144781,7618)) * 1000</f>
        <v>0.48747577906790795</v>
      </c>
      <c r="AA263">
        <f>(Table1[[#This Row],[Dense-Equivalent Throughput (GOPS)]] / 654.74 )/ IF(Table1[[#This Row],[config]]=0, 42381, 7618) * 10^9</f>
        <v>2543.457821408605</v>
      </c>
      <c r="AB263">
        <f>IF(Table1[[#This Row],[config]]=0, 2860, 2210) * (Table1[[#This Row],[cycles]] / 70) / 1000</f>
        <v>2.6557142857142857</v>
      </c>
    </row>
    <row r="264" spans="1:28" x14ac:dyDescent="0.25">
      <c r="A264" t="s">
        <v>20</v>
      </c>
      <c r="B264" t="s">
        <v>24</v>
      </c>
      <c r="C264">
        <v>3</v>
      </c>
      <c r="D264">
        <v>95</v>
      </c>
      <c r="E264">
        <v>32</v>
      </c>
      <c r="F264">
        <v>32</v>
      </c>
      <c r="G264">
        <v>32</v>
      </c>
      <c r="H264">
        <v>29</v>
      </c>
      <c r="I264">
        <v>18</v>
      </c>
      <c r="J264">
        <v>25</v>
      </c>
      <c r="K264">
        <v>0</v>
      </c>
      <c r="L264">
        <v>32</v>
      </c>
      <c r="M264">
        <v>0.42630000000000001</v>
      </c>
      <c r="N264">
        <v>65536</v>
      </c>
      <c r="O264">
        <v>26100</v>
      </c>
      <c r="P264">
        <v>0.60170000000000001</v>
      </c>
      <c r="Q264">
        <v>70</v>
      </c>
      <c r="R264">
        <v>71.8</v>
      </c>
      <c r="S264" t="b">
        <v>1</v>
      </c>
      <c r="T264">
        <v>1</v>
      </c>
      <c r="U264">
        <v>262</v>
      </c>
      <c r="V264">
        <f>Table1[[#This Row],[orig_m]]+Table1[[#This Row],[orig_n]]+Table1[[#This Row],[orig_k]]-2</f>
        <v>94</v>
      </c>
      <c r="W264">
        <f>Table1[[#This Row],[Dense Baseline]]-Table1[[#This Row],[cycles]]</f>
        <v>24</v>
      </c>
      <c r="X264">
        <f>(Table1[[#This Row],[eff_macs]]/Table1[[#This Row],[cycles]])*0.07</f>
        <v>26.1</v>
      </c>
      <c r="Y264">
        <f>(Table1[[#This Row],[orig_macs]]/Table1[[#This Row],[cycles]])*0.07</f>
        <v>65.536000000000001</v>
      </c>
      <c r="Z264">
        <f>(Table1[[#This Row],[Dense-Equivalent Throughput (GOPS)]] / IF(Table1[[#This Row],[config]]=0,144781,7618)) * 1000</f>
        <v>0.45265608056305734</v>
      </c>
      <c r="AA264">
        <f>(Table1[[#This Row],[Dense-Equivalent Throughput (GOPS)]] / 654.74 )/ IF(Table1[[#This Row],[config]]=0, 42381, 7618) * 10^9</f>
        <v>2361.7822627365617</v>
      </c>
      <c r="AB264">
        <f>IF(Table1[[#This Row],[config]]=0, 2860, 2210) * (Table1[[#This Row],[cycles]] / 70) / 1000</f>
        <v>2.86</v>
      </c>
    </row>
    <row r="265" spans="1:28" x14ac:dyDescent="0.25">
      <c r="A265" t="s">
        <v>20</v>
      </c>
      <c r="B265" t="s">
        <v>24</v>
      </c>
      <c r="C265">
        <v>3</v>
      </c>
      <c r="D265">
        <v>96</v>
      </c>
      <c r="E265">
        <v>32</v>
      </c>
      <c r="F265">
        <v>32</v>
      </c>
      <c r="G265">
        <v>32</v>
      </c>
      <c r="H265">
        <v>29</v>
      </c>
      <c r="I265">
        <v>17</v>
      </c>
      <c r="J265">
        <v>25</v>
      </c>
      <c r="K265">
        <v>0</v>
      </c>
      <c r="L265">
        <v>32</v>
      </c>
      <c r="M265">
        <v>0.4385</v>
      </c>
      <c r="N265">
        <v>65536</v>
      </c>
      <c r="O265">
        <v>24650</v>
      </c>
      <c r="P265">
        <v>0.62390000000000001</v>
      </c>
      <c r="Q265">
        <v>69</v>
      </c>
      <c r="R265">
        <v>141.4</v>
      </c>
      <c r="S265" t="b">
        <v>1</v>
      </c>
      <c r="T265">
        <v>0.985714286</v>
      </c>
      <c r="U265">
        <v>263</v>
      </c>
      <c r="V265">
        <f>Table1[[#This Row],[orig_m]]+Table1[[#This Row],[orig_n]]+Table1[[#This Row],[orig_k]]-2</f>
        <v>94</v>
      </c>
      <c r="W265">
        <f>Table1[[#This Row],[Dense Baseline]]-Table1[[#This Row],[cycles]]</f>
        <v>25</v>
      </c>
      <c r="X265">
        <f>(Table1[[#This Row],[eff_macs]]/Table1[[#This Row],[cycles]])*0.07</f>
        <v>25.007246376811597</v>
      </c>
      <c r="Y265">
        <f>(Table1[[#This Row],[orig_macs]]/Table1[[#This Row],[cycles]])*0.07</f>
        <v>66.485797101449279</v>
      </c>
      <c r="Z265">
        <f>(Table1[[#This Row],[Dense-Equivalent Throughput (GOPS)]] / IF(Table1[[#This Row],[config]]=0,144781,7618)) * 1000</f>
        <v>0.45921631361469584</v>
      </c>
      <c r="AA265">
        <f>(Table1[[#This Row],[Dense-Equivalent Throughput (GOPS)]] / 654.74 )/ IF(Table1[[#This Row],[config]]=0, 42381, 7618) * 10^9</f>
        <v>2396.0109911820191</v>
      </c>
      <c r="AB265">
        <f>IF(Table1[[#This Row],[config]]=0, 2860, 2210) * (Table1[[#This Row],[cycles]] / 70) / 1000</f>
        <v>2.8191428571428574</v>
      </c>
    </row>
    <row r="266" spans="1:28" x14ac:dyDescent="0.25">
      <c r="A266" t="s">
        <v>20</v>
      </c>
      <c r="B266" t="s">
        <v>24</v>
      </c>
      <c r="C266">
        <v>3</v>
      </c>
      <c r="D266">
        <v>97</v>
      </c>
      <c r="E266">
        <v>32</v>
      </c>
      <c r="F266">
        <v>32</v>
      </c>
      <c r="G266">
        <v>32</v>
      </c>
      <c r="H266">
        <v>26</v>
      </c>
      <c r="I266">
        <v>18</v>
      </c>
      <c r="J266">
        <v>21</v>
      </c>
      <c r="K266">
        <v>0</v>
      </c>
      <c r="L266">
        <v>32</v>
      </c>
      <c r="M266">
        <v>0.54879999999999995</v>
      </c>
      <c r="N266">
        <v>65536</v>
      </c>
      <c r="O266">
        <v>19656</v>
      </c>
      <c r="P266">
        <v>0.70009999999999994</v>
      </c>
      <c r="Q266">
        <v>63</v>
      </c>
      <c r="R266">
        <v>45.2</v>
      </c>
      <c r="S266" t="b">
        <v>1</v>
      </c>
      <c r="T266">
        <v>0.9</v>
      </c>
      <c r="U266">
        <v>264</v>
      </c>
      <c r="V266">
        <f>Table1[[#This Row],[orig_m]]+Table1[[#This Row],[orig_n]]+Table1[[#This Row],[orig_k]]-2</f>
        <v>94</v>
      </c>
      <c r="W266">
        <f>Table1[[#This Row],[Dense Baseline]]-Table1[[#This Row],[cycles]]</f>
        <v>31</v>
      </c>
      <c r="X266">
        <f>(Table1[[#This Row],[eff_macs]]/Table1[[#This Row],[cycles]])*0.07</f>
        <v>21.840000000000003</v>
      </c>
      <c r="Y266">
        <f>(Table1[[#This Row],[orig_macs]]/Table1[[#This Row],[cycles]])*0.07</f>
        <v>72.817777777777778</v>
      </c>
      <c r="Z266">
        <f>(Table1[[#This Row],[Dense-Equivalent Throughput (GOPS)]] / IF(Table1[[#This Row],[config]]=0,144781,7618)) * 1000</f>
        <v>0.50295120062561927</v>
      </c>
      <c r="AA266">
        <f>(Table1[[#This Row],[Dense-Equivalent Throughput (GOPS)]] / 654.74 )/ IF(Table1[[#This Row],[config]]=0, 42381, 7618) * 10^9</f>
        <v>2624.2025141517352</v>
      </c>
      <c r="AB266">
        <f>IF(Table1[[#This Row],[config]]=0, 2860, 2210) * (Table1[[#This Row],[cycles]] / 70) / 1000</f>
        <v>2.5739999999999998</v>
      </c>
    </row>
    <row r="267" spans="1:28" x14ac:dyDescent="0.25">
      <c r="A267" t="s">
        <v>20</v>
      </c>
      <c r="B267" t="s">
        <v>24</v>
      </c>
      <c r="C267">
        <v>3</v>
      </c>
      <c r="D267">
        <v>98</v>
      </c>
      <c r="E267">
        <v>32</v>
      </c>
      <c r="F267">
        <v>32</v>
      </c>
      <c r="G267">
        <v>32</v>
      </c>
      <c r="H267">
        <v>26</v>
      </c>
      <c r="I267">
        <v>18</v>
      </c>
      <c r="J267">
        <v>21</v>
      </c>
      <c r="K267">
        <v>0</v>
      </c>
      <c r="L267">
        <v>32</v>
      </c>
      <c r="M267">
        <v>0.54879999999999995</v>
      </c>
      <c r="N267">
        <v>65536</v>
      </c>
      <c r="O267">
        <v>19656</v>
      </c>
      <c r="P267">
        <v>0.70009999999999994</v>
      </c>
      <c r="Q267">
        <v>63</v>
      </c>
      <c r="R267">
        <v>48.9</v>
      </c>
      <c r="S267" t="b">
        <v>1</v>
      </c>
      <c r="T267">
        <v>0.9</v>
      </c>
      <c r="U267">
        <v>265</v>
      </c>
      <c r="V267">
        <f>Table1[[#This Row],[orig_m]]+Table1[[#This Row],[orig_n]]+Table1[[#This Row],[orig_k]]-2</f>
        <v>94</v>
      </c>
      <c r="W267">
        <f>Table1[[#This Row],[Dense Baseline]]-Table1[[#This Row],[cycles]]</f>
        <v>31</v>
      </c>
      <c r="X267">
        <f>(Table1[[#This Row],[eff_macs]]/Table1[[#This Row],[cycles]])*0.07</f>
        <v>21.840000000000003</v>
      </c>
      <c r="Y267">
        <f>(Table1[[#This Row],[orig_macs]]/Table1[[#This Row],[cycles]])*0.07</f>
        <v>72.817777777777778</v>
      </c>
      <c r="Z267">
        <f>(Table1[[#This Row],[Dense-Equivalent Throughput (GOPS)]] / IF(Table1[[#This Row],[config]]=0,144781,7618)) * 1000</f>
        <v>0.50295120062561927</v>
      </c>
      <c r="AA267">
        <f>(Table1[[#This Row],[Dense-Equivalent Throughput (GOPS)]] / 654.74 )/ IF(Table1[[#This Row],[config]]=0, 42381, 7618) * 10^9</f>
        <v>2624.2025141517352</v>
      </c>
      <c r="AB267">
        <f>IF(Table1[[#This Row],[config]]=0, 2860, 2210) * (Table1[[#This Row],[cycles]] / 70) / 1000</f>
        <v>2.5739999999999998</v>
      </c>
    </row>
    <row r="268" spans="1:28" x14ac:dyDescent="0.25">
      <c r="A268" t="s">
        <v>20</v>
      </c>
      <c r="B268" t="s">
        <v>24</v>
      </c>
      <c r="C268">
        <v>3</v>
      </c>
      <c r="D268">
        <v>99</v>
      </c>
      <c r="E268">
        <v>32</v>
      </c>
      <c r="F268">
        <v>32</v>
      </c>
      <c r="G268">
        <v>32</v>
      </c>
      <c r="H268">
        <v>26</v>
      </c>
      <c r="I268">
        <v>22</v>
      </c>
      <c r="J268">
        <v>21</v>
      </c>
      <c r="K268">
        <v>0</v>
      </c>
      <c r="L268">
        <v>32</v>
      </c>
      <c r="M268">
        <v>0.50780000000000003</v>
      </c>
      <c r="N268">
        <v>65536</v>
      </c>
      <c r="O268">
        <v>24024</v>
      </c>
      <c r="P268">
        <v>0.63339999999999996</v>
      </c>
      <c r="Q268">
        <v>67</v>
      </c>
      <c r="R268">
        <v>78.900000000000006</v>
      </c>
      <c r="S268" t="b">
        <v>1</v>
      </c>
      <c r="T268">
        <v>0.95714285700000001</v>
      </c>
      <c r="U268">
        <v>266</v>
      </c>
      <c r="V268">
        <f>Table1[[#This Row],[orig_m]]+Table1[[#This Row],[orig_n]]+Table1[[#This Row],[orig_k]]-2</f>
        <v>94</v>
      </c>
      <c r="W268">
        <f>Table1[[#This Row],[Dense Baseline]]-Table1[[#This Row],[cycles]]</f>
        <v>27</v>
      </c>
      <c r="X268">
        <f>(Table1[[#This Row],[eff_macs]]/Table1[[#This Row],[cycles]])*0.07</f>
        <v>25.099701492537314</v>
      </c>
      <c r="Y268">
        <f>(Table1[[#This Row],[orig_macs]]/Table1[[#This Row],[cycles]])*0.07</f>
        <v>68.470447761194038</v>
      </c>
      <c r="Z268">
        <f>(Table1[[#This Row],[Dense-Equivalent Throughput (GOPS)]] / IF(Table1[[#This Row],[config]]=0,144781,7618)) * 1000</f>
        <v>0.47292426327483605</v>
      </c>
      <c r="AA268">
        <f>(Table1[[#This Row],[Dense-Equivalent Throughput (GOPS)]] / 654.74 )/ IF(Table1[[#This Row],[config]]=0, 42381, 7618) * 10^9</f>
        <v>2467.5337073367064</v>
      </c>
      <c r="AB268">
        <f>IF(Table1[[#This Row],[config]]=0, 2860, 2210) * (Table1[[#This Row],[cycles]] / 70) / 1000</f>
        <v>2.7374285714285715</v>
      </c>
    </row>
    <row r="269" spans="1:28" x14ac:dyDescent="0.25">
      <c r="A269" t="s">
        <v>20</v>
      </c>
      <c r="B269" t="s">
        <v>24</v>
      </c>
      <c r="C269">
        <v>3</v>
      </c>
      <c r="D269">
        <v>100</v>
      </c>
      <c r="E269">
        <v>32</v>
      </c>
      <c r="F269">
        <v>32</v>
      </c>
      <c r="G269">
        <v>32</v>
      </c>
      <c r="H269">
        <v>26</v>
      </c>
      <c r="I269">
        <v>13</v>
      </c>
      <c r="J269">
        <v>21</v>
      </c>
      <c r="K269">
        <v>0</v>
      </c>
      <c r="L269">
        <v>32</v>
      </c>
      <c r="M269">
        <v>0.60009999999999997</v>
      </c>
      <c r="N269">
        <v>65536</v>
      </c>
      <c r="O269">
        <v>14196</v>
      </c>
      <c r="P269">
        <v>0.78339999999999999</v>
      </c>
      <c r="Q269">
        <v>58</v>
      </c>
      <c r="R269">
        <v>139.9</v>
      </c>
      <c r="S269" t="b">
        <v>1</v>
      </c>
      <c r="T269">
        <v>0.82857142900000003</v>
      </c>
      <c r="U269">
        <v>267</v>
      </c>
      <c r="V269">
        <f>Table1[[#This Row],[orig_m]]+Table1[[#This Row],[orig_n]]+Table1[[#This Row],[orig_k]]-2</f>
        <v>94</v>
      </c>
      <c r="W269">
        <f>Table1[[#This Row],[Dense Baseline]]-Table1[[#This Row],[cycles]]</f>
        <v>36</v>
      </c>
      <c r="X269">
        <f>(Table1[[#This Row],[eff_macs]]/Table1[[#This Row],[cycles]])*0.07</f>
        <v>17.133103448275865</v>
      </c>
      <c r="Y269">
        <f>(Table1[[#This Row],[orig_macs]]/Table1[[#This Row],[cycles]])*0.07</f>
        <v>79.095172413793108</v>
      </c>
      <c r="Z269">
        <f>(Table1[[#This Row],[Dense-Equivalent Throughput (GOPS)]] / IF(Table1[[#This Row],[config]]=0,144781,7618)) * 1000</f>
        <v>0.54630906274851743</v>
      </c>
      <c r="AA269">
        <f>(Table1[[#This Row],[Dense-Equivalent Throughput (GOPS)]] / 654.74 )/ IF(Table1[[#This Row],[config]]=0, 42381, 7618) * 10^9</f>
        <v>2850.4268688199882</v>
      </c>
      <c r="AB269">
        <f>IF(Table1[[#This Row],[config]]=0, 2860, 2210) * (Table1[[#This Row],[cycles]] / 70) / 1000</f>
        <v>2.3697142857142857</v>
      </c>
    </row>
    <row r="270" spans="1:28" x14ac:dyDescent="0.25">
      <c r="A270" t="s">
        <v>20</v>
      </c>
      <c r="B270" t="s">
        <v>24</v>
      </c>
      <c r="C270">
        <v>3</v>
      </c>
      <c r="D270">
        <v>101</v>
      </c>
      <c r="E270">
        <v>32</v>
      </c>
      <c r="F270">
        <v>32</v>
      </c>
      <c r="G270">
        <v>32</v>
      </c>
      <c r="H270">
        <v>26</v>
      </c>
      <c r="I270">
        <v>18</v>
      </c>
      <c r="J270">
        <v>21</v>
      </c>
      <c r="K270">
        <v>0</v>
      </c>
      <c r="L270">
        <v>32</v>
      </c>
      <c r="M270">
        <v>0.54879999999999995</v>
      </c>
      <c r="N270">
        <v>65536</v>
      </c>
      <c r="O270">
        <v>19656</v>
      </c>
      <c r="P270">
        <v>0.70009999999999994</v>
      </c>
      <c r="Q270">
        <v>63</v>
      </c>
      <c r="R270">
        <v>75.400000000000006</v>
      </c>
      <c r="S270" t="b">
        <v>1</v>
      </c>
      <c r="T270">
        <v>0.9</v>
      </c>
      <c r="U270">
        <v>268</v>
      </c>
      <c r="V270">
        <f>Table1[[#This Row],[orig_m]]+Table1[[#This Row],[orig_n]]+Table1[[#This Row],[orig_k]]-2</f>
        <v>94</v>
      </c>
      <c r="W270">
        <f>Table1[[#This Row],[Dense Baseline]]-Table1[[#This Row],[cycles]]</f>
        <v>31</v>
      </c>
      <c r="X270">
        <f>(Table1[[#This Row],[eff_macs]]/Table1[[#This Row],[cycles]])*0.07</f>
        <v>21.840000000000003</v>
      </c>
      <c r="Y270">
        <f>(Table1[[#This Row],[orig_macs]]/Table1[[#This Row],[cycles]])*0.07</f>
        <v>72.817777777777778</v>
      </c>
      <c r="Z270">
        <f>(Table1[[#This Row],[Dense-Equivalent Throughput (GOPS)]] / IF(Table1[[#This Row],[config]]=0,144781,7618)) * 1000</f>
        <v>0.50295120062561927</v>
      </c>
      <c r="AA270">
        <f>(Table1[[#This Row],[Dense-Equivalent Throughput (GOPS)]] / 654.74 )/ IF(Table1[[#This Row],[config]]=0, 42381, 7618) * 10^9</f>
        <v>2624.2025141517352</v>
      </c>
      <c r="AB270">
        <f>IF(Table1[[#This Row],[config]]=0, 2860, 2210) * (Table1[[#This Row],[cycles]] / 70) / 1000</f>
        <v>2.5739999999999998</v>
      </c>
    </row>
    <row r="271" spans="1:28" x14ac:dyDescent="0.25">
      <c r="A271" t="s">
        <v>20</v>
      </c>
      <c r="B271" t="s">
        <v>24</v>
      </c>
      <c r="C271">
        <v>3</v>
      </c>
      <c r="D271">
        <v>102</v>
      </c>
      <c r="E271">
        <v>32</v>
      </c>
      <c r="F271">
        <v>32</v>
      </c>
      <c r="G271">
        <v>32</v>
      </c>
      <c r="H271">
        <v>26</v>
      </c>
      <c r="I271">
        <v>17</v>
      </c>
      <c r="J271">
        <v>21</v>
      </c>
      <c r="K271">
        <v>0</v>
      </c>
      <c r="L271">
        <v>32</v>
      </c>
      <c r="M271">
        <v>0.55910000000000004</v>
      </c>
      <c r="N271">
        <v>65536</v>
      </c>
      <c r="O271">
        <v>18564</v>
      </c>
      <c r="P271">
        <v>0.7167</v>
      </c>
      <c r="Q271">
        <v>62</v>
      </c>
      <c r="R271">
        <v>49.8</v>
      </c>
      <c r="S271" t="b">
        <v>1</v>
      </c>
      <c r="T271">
        <v>0.88571428600000002</v>
      </c>
      <c r="U271">
        <v>269</v>
      </c>
      <c r="V271">
        <f>Table1[[#This Row],[orig_m]]+Table1[[#This Row],[orig_n]]+Table1[[#This Row],[orig_k]]-2</f>
        <v>94</v>
      </c>
      <c r="W271">
        <f>Table1[[#This Row],[Dense Baseline]]-Table1[[#This Row],[cycles]]</f>
        <v>32</v>
      </c>
      <c r="X271">
        <f>(Table1[[#This Row],[eff_macs]]/Table1[[#This Row],[cycles]])*0.07</f>
        <v>20.959354838709679</v>
      </c>
      <c r="Y271">
        <f>(Table1[[#This Row],[orig_macs]]/Table1[[#This Row],[cycles]])*0.07</f>
        <v>73.992258064516136</v>
      </c>
      <c r="Z271">
        <f>(Table1[[#This Row],[Dense-Equivalent Throughput (GOPS)]] / IF(Table1[[#This Row],[config]]=0,144781,7618)) * 1000</f>
        <v>0.51106331676474215</v>
      </c>
      <c r="AA271">
        <f>(Table1[[#This Row],[Dense-Equivalent Throughput (GOPS)]] / 654.74 )/ IF(Table1[[#This Row],[config]]=0, 42381, 7618) * 10^9</f>
        <v>2666.5283611541827</v>
      </c>
      <c r="AB271">
        <f>IF(Table1[[#This Row],[config]]=0, 2860, 2210) * (Table1[[#This Row],[cycles]] / 70) / 1000</f>
        <v>2.5331428571428569</v>
      </c>
    </row>
    <row r="272" spans="1:28" x14ac:dyDescent="0.25">
      <c r="A272" t="s">
        <v>20</v>
      </c>
      <c r="B272" t="s">
        <v>24</v>
      </c>
      <c r="C272">
        <v>3</v>
      </c>
      <c r="D272">
        <v>103</v>
      </c>
      <c r="E272">
        <v>32</v>
      </c>
      <c r="F272">
        <v>32</v>
      </c>
      <c r="G272">
        <v>32</v>
      </c>
      <c r="H272">
        <v>29</v>
      </c>
      <c r="I272">
        <v>18</v>
      </c>
      <c r="J272">
        <v>16</v>
      </c>
      <c r="K272">
        <v>0</v>
      </c>
      <c r="L272">
        <v>32</v>
      </c>
      <c r="M272">
        <v>0.63280000000000003</v>
      </c>
      <c r="N272">
        <v>65536</v>
      </c>
      <c r="O272">
        <v>16704</v>
      </c>
      <c r="P272">
        <v>0.74509999999999998</v>
      </c>
      <c r="Q272">
        <v>61</v>
      </c>
      <c r="R272">
        <v>62.8</v>
      </c>
      <c r="S272" t="b">
        <v>1</v>
      </c>
      <c r="T272">
        <v>0.87142857100000004</v>
      </c>
      <c r="U272">
        <v>270</v>
      </c>
      <c r="V272">
        <f>Table1[[#This Row],[orig_m]]+Table1[[#This Row],[orig_n]]+Table1[[#This Row],[orig_k]]-2</f>
        <v>94</v>
      </c>
      <c r="W272">
        <f>Table1[[#This Row],[Dense Baseline]]-Table1[[#This Row],[cycles]]</f>
        <v>33</v>
      </c>
      <c r="X272">
        <f>(Table1[[#This Row],[eff_macs]]/Table1[[#This Row],[cycles]])*0.07</f>
        <v>19.168524590163937</v>
      </c>
      <c r="Y272">
        <f>(Table1[[#This Row],[orig_macs]]/Table1[[#This Row],[cycles]])*0.07</f>
        <v>75.205245901639358</v>
      </c>
      <c r="Z272">
        <f>(Table1[[#This Row],[Dense-Equivalent Throughput (GOPS)]] / IF(Table1[[#This Row],[config]]=0,144781,7618)) * 1000</f>
        <v>0.51944140392481997</v>
      </c>
      <c r="AA272">
        <f>(Table1[[#This Row],[Dense-Equivalent Throughput (GOPS)]] / 654.74 )/ IF(Table1[[#This Row],[config]]=0, 42381, 7618) * 10^9</f>
        <v>2710.2419408452347</v>
      </c>
      <c r="AB272">
        <f>IF(Table1[[#This Row],[config]]=0, 2860, 2210) * (Table1[[#This Row],[cycles]] / 70) / 1000</f>
        <v>2.4922857142857144</v>
      </c>
    </row>
    <row r="273" spans="1:28" x14ac:dyDescent="0.25">
      <c r="A273" t="s">
        <v>20</v>
      </c>
      <c r="B273" t="s">
        <v>24</v>
      </c>
      <c r="C273">
        <v>3</v>
      </c>
      <c r="D273">
        <v>104</v>
      </c>
      <c r="E273">
        <v>32</v>
      </c>
      <c r="F273">
        <v>32</v>
      </c>
      <c r="G273">
        <v>32</v>
      </c>
      <c r="H273">
        <v>29</v>
      </c>
      <c r="I273">
        <v>18</v>
      </c>
      <c r="J273">
        <v>16</v>
      </c>
      <c r="K273">
        <v>0</v>
      </c>
      <c r="L273">
        <v>32</v>
      </c>
      <c r="M273">
        <v>0.63280000000000003</v>
      </c>
      <c r="N273">
        <v>65536</v>
      </c>
      <c r="O273">
        <v>16704</v>
      </c>
      <c r="P273">
        <v>0.74509999999999998</v>
      </c>
      <c r="Q273">
        <v>61</v>
      </c>
      <c r="R273">
        <v>162</v>
      </c>
      <c r="S273" t="b">
        <v>1</v>
      </c>
      <c r="T273">
        <v>0.87142857100000004</v>
      </c>
      <c r="U273">
        <v>271</v>
      </c>
      <c r="V273">
        <f>Table1[[#This Row],[orig_m]]+Table1[[#This Row],[orig_n]]+Table1[[#This Row],[orig_k]]-2</f>
        <v>94</v>
      </c>
      <c r="W273">
        <f>Table1[[#This Row],[Dense Baseline]]-Table1[[#This Row],[cycles]]</f>
        <v>33</v>
      </c>
      <c r="X273">
        <f>(Table1[[#This Row],[eff_macs]]/Table1[[#This Row],[cycles]])*0.07</f>
        <v>19.168524590163937</v>
      </c>
      <c r="Y273">
        <f>(Table1[[#This Row],[orig_macs]]/Table1[[#This Row],[cycles]])*0.07</f>
        <v>75.205245901639358</v>
      </c>
      <c r="Z273">
        <f>(Table1[[#This Row],[Dense-Equivalent Throughput (GOPS)]] / IF(Table1[[#This Row],[config]]=0,144781,7618)) * 1000</f>
        <v>0.51944140392481997</v>
      </c>
      <c r="AA273">
        <f>(Table1[[#This Row],[Dense-Equivalent Throughput (GOPS)]] / 654.74 )/ IF(Table1[[#This Row],[config]]=0, 42381, 7618) * 10^9</f>
        <v>2710.2419408452347</v>
      </c>
      <c r="AB273">
        <f>IF(Table1[[#This Row],[config]]=0, 2860, 2210) * (Table1[[#This Row],[cycles]] / 70) / 1000</f>
        <v>2.4922857142857144</v>
      </c>
    </row>
    <row r="274" spans="1:28" x14ac:dyDescent="0.25">
      <c r="A274" t="s">
        <v>20</v>
      </c>
      <c r="B274" t="s">
        <v>24</v>
      </c>
      <c r="C274">
        <v>3</v>
      </c>
      <c r="D274">
        <v>105</v>
      </c>
      <c r="E274">
        <v>32</v>
      </c>
      <c r="F274">
        <v>32</v>
      </c>
      <c r="G274">
        <v>32</v>
      </c>
      <c r="H274">
        <v>29</v>
      </c>
      <c r="I274">
        <v>22</v>
      </c>
      <c r="J274">
        <v>16</v>
      </c>
      <c r="K274">
        <v>0</v>
      </c>
      <c r="L274">
        <v>32</v>
      </c>
      <c r="M274">
        <v>0.60160000000000002</v>
      </c>
      <c r="N274">
        <v>65536</v>
      </c>
      <c r="O274">
        <v>20416</v>
      </c>
      <c r="P274">
        <v>0.6885</v>
      </c>
      <c r="Q274">
        <v>65</v>
      </c>
      <c r="R274">
        <v>39.6</v>
      </c>
      <c r="S274" t="b">
        <v>1</v>
      </c>
      <c r="T274">
        <v>0.928571429</v>
      </c>
      <c r="U274">
        <v>272</v>
      </c>
      <c r="V274">
        <f>Table1[[#This Row],[orig_m]]+Table1[[#This Row],[orig_n]]+Table1[[#This Row],[orig_k]]-2</f>
        <v>94</v>
      </c>
      <c r="W274">
        <f>Table1[[#This Row],[Dense Baseline]]-Table1[[#This Row],[cycles]]</f>
        <v>29</v>
      </c>
      <c r="X274">
        <f>(Table1[[#This Row],[eff_macs]]/Table1[[#This Row],[cycles]])*0.07</f>
        <v>21.98646153846154</v>
      </c>
      <c r="Y274">
        <f>(Table1[[#This Row],[orig_macs]]/Table1[[#This Row],[cycles]])*0.07</f>
        <v>70.577230769230781</v>
      </c>
      <c r="Z274">
        <f>(Table1[[#This Row],[Dense-Equivalent Throughput (GOPS)]] / IF(Table1[[#This Row],[config]]=0,144781,7618)) * 1000</f>
        <v>0.48747577906790795</v>
      </c>
      <c r="AA274">
        <f>(Table1[[#This Row],[Dense-Equivalent Throughput (GOPS)]] / 654.74 )/ IF(Table1[[#This Row],[config]]=0, 42381, 7618) * 10^9</f>
        <v>2543.457821408605</v>
      </c>
      <c r="AB274">
        <f>IF(Table1[[#This Row],[config]]=0, 2860, 2210) * (Table1[[#This Row],[cycles]] / 70) / 1000</f>
        <v>2.6557142857142857</v>
      </c>
    </row>
    <row r="275" spans="1:28" x14ac:dyDescent="0.25">
      <c r="A275" t="s">
        <v>20</v>
      </c>
      <c r="B275" t="s">
        <v>24</v>
      </c>
      <c r="C275">
        <v>3</v>
      </c>
      <c r="D275">
        <v>106</v>
      </c>
      <c r="E275">
        <v>32</v>
      </c>
      <c r="F275">
        <v>32</v>
      </c>
      <c r="G275">
        <v>32</v>
      </c>
      <c r="H275">
        <v>29</v>
      </c>
      <c r="I275">
        <v>13</v>
      </c>
      <c r="J275">
        <v>16</v>
      </c>
      <c r="K275">
        <v>0</v>
      </c>
      <c r="L275">
        <v>32</v>
      </c>
      <c r="M275">
        <v>0.67190000000000005</v>
      </c>
      <c r="N275">
        <v>65536</v>
      </c>
      <c r="O275">
        <v>12064</v>
      </c>
      <c r="P275">
        <v>0.81589999999999996</v>
      </c>
      <c r="Q275">
        <v>56</v>
      </c>
      <c r="R275">
        <v>45.5</v>
      </c>
      <c r="S275" t="b">
        <v>1</v>
      </c>
      <c r="T275">
        <v>0.8</v>
      </c>
      <c r="U275">
        <v>273</v>
      </c>
      <c r="V275">
        <f>Table1[[#This Row],[orig_m]]+Table1[[#This Row],[orig_n]]+Table1[[#This Row],[orig_k]]-2</f>
        <v>94</v>
      </c>
      <c r="W275">
        <f>Table1[[#This Row],[Dense Baseline]]-Table1[[#This Row],[cycles]]</f>
        <v>38</v>
      </c>
      <c r="X275">
        <f>(Table1[[#This Row],[eff_macs]]/Table1[[#This Row],[cycles]])*0.07</f>
        <v>15.08</v>
      </c>
      <c r="Y275">
        <f>(Table1[[#This Row],[orig_macs]]/Table1[[#This Row],[cycles]])*0.07</f>
        <v>81.92</v>
      </c>
      <c r="Z275">
        <f>(Table1[[#This Row],[Dense-Equivalent Throughput (GOPS)]] / IF(Table1[[#This Row],[config]]=0,144781,7618)) * 1000</f>
        <v>0.56582010070382172</v>
      </c>
      <c r="AA275">
        <f>(Table1[[#This Row],[Dense-Equivalent Throughput (GOPS)]] / 654.74 )/ IF(Table1[[#This Row],[config]]=0, 42381, 7618) * 10^9</f>
        <v>2952.2278284207018</v>
      </c>
      <c r="AB275">
        <f>IF(Table1[[#This Row],[config]]=0, 2860, 2210) * (Table1[[#This Row],[cycles]] / 70) / 1000</f>
        <v>2.2879999999999998</v>
      </c>
    </row>
    <row r="276" spans="1:28" x14ac:dyDescent="0.25">
      <c r="A276" t="s">
        <v>20</v>
      </c>
      <c r="B276" t="s">
        <v>24</v>
      </c>
      <c r="C276">
        <v>3</v>
      </c>
      <c r="D276">
        <v>107</v>
      </c>
      <c r="E276">
        <v>32</v>
      </c>
      <c r="F276">
        <v>32</v>
      </c>
      <c r="G276">
        <v>32</v>
      </c>
      <c r="H276">
        <v>29</v>
      </c>
      <c r="I276">
        <v>18</v>
      </c>
      <c r="J276">
        <v>16</v>
      </c>
      <c r="K276">
        <v>0</v>
      </c>
      <c r="L276">
        <v>32</v>
      </c>
      <c r="M276">
        <v>0.63280000000000003</v>
      </c>
      <c r="N276">
        <v>65536</v>
      </c>
      <c r="O276">
        <v>16704</v>
      </c>
      <c r="P276">
        <v>0.74509999999999998</v>
      </c>
      <c r="Q276">
        <v>61</v>
      </c>
      <c r="R276">
        <v>125.8</v>
      </c>
      <c r="S276" t="b">
        <v>1</v>
      </c>
      <c r="T276">
        <v>0.87142857100000004</v>
      </c>
      <c r="U276">
        <v>274</v>
      </c>
      <c r="V276">
        <f>Table1[[#This Row],[orig_m]]+Table1[[#This Row],[orig_n]]+Table1[[#This Row],[orig_k]]-2</f>
        <v>94</v>
      </c>
      <c r="W276">
        <f>Table1[[#This Row],[Dense Baseline]]-Table1[[#This Row],[cycles]]</f>
        <v>33</v>
      </c>
      <c r="X276">
        <f>(Table1[[#This Row],[eff_macs]]/Table1[[#This Row],[cycles]])*0.07</f>
        <v>19.168524590163937</v>
      </c>
      <c r="Y276">
        <f>(Table1[[#This Row],[orig_macs]]/Table1[[#This Row],[cycles]])*0.07</f>
        <v>75.205245901639358</v>
      </c>
      <c r="Z276">
        <f>(Table1[[#This Row],[Dense-Equivalent Throughput (GOPS)]] / IF(Table1[[#This Row],[config]]=0,144781,7618)) * 1000</f>
        <v>0.51944140392481997</v>
      </c>
      <c r="AA276">
        <f>(Table1[[#This Row],[Dense-Equivalent Throughput (GOPS)]] / 654.74 )/ IF(Table1[[#This Row],[config]]=0, 42381, 7618) * 10^9</f>
        <v>2710.2419408452347</v>
      </c>
      <c r="AB276">
        <f>IF(Table1[[#This Row],[config]]=0, 2860, 2210) * (Table1[[#This Row],[cycles]] / 70) / 1000</f>
        <v>2.4922857142857144</v>
      </c>
    </row>
    <row r="277" spans="1:28" x14ac:dyDescent="0.25">
      <c r="A277" t="s">
        <v>20</v>
      </c>
      <c r="B277" t="s">
        <v>24</v>
      </c>
      <c r="C277">
        <v>3</v>
      </c>
      <c r="D277">
        <v>108</v>
      </c>
      <c r="E277">
        <v>32</v>
      </c>
      <c r="F277">
        <v>32</v>
      </c>
      <c r="G277">
        <v>32</v>
      </c>
      <c r="H277">
        <v>29</v>
      </c>
      <c r="I277">
        <v>17</v>
      </c>
      <c r="J277">
        <v>16</v>
      </c>
      <c r="K277">
        <v>0</v>
      </c>
      <c r="L277">
        <v>32</v>
      </c>
      <c r="M277">
        <v>0.64059999999999995</v>
      </c>
      <c r="N277">
        <v>65536</v>
      </c>
      <c r="O277">
        <v>15776</v>
      </c>
      <c r="P277">
        <v>0.75929999999999997</v>
      </c>
      <c r="Q277">
        <v>60</v>
      </c>
      <c r="R277">
        <v>71.2</v>
      </c>
      <c r="S277" t="b">
        <v>1</v>
      </c>
      <c r="T277">
        <v>0.85714285700000004</v>
      </c>
      <c r="U277">
        <v>275</v>
      </c>
      <c r="V277">
        <f>Table1[[#This Row],[orig_m]]+Table1[[#This Row],[orig_n]]+Table1[[#This Row],[orig_k]]-2</f>
        <v>94</v>
      </c>
      <c r="W277">
        <f>Table1[[#This Row],[Dense Baseline]]-Table1[[#This Row],[cycles]]</f>
        <v>34</v>
      </c>
      <c r="X277">
        <f>(Table1[[#This Row],[eff_macs]]/Table1[[#This Row],[cycles]])*0.07</f>
        <v>18.405333333333335</v>
      </c>
      <c r="Y277">
        <f>(Table1[[#This Row],[orig_macs]]/Table1[[#This Row],[cycles]])*0.07</f>
        <v>76.458666666666673</v>
      </c>
      <c r="Z277">
        <f>(Table1[[#This Row],[Dense-Equivalent Throughput (GOPS)]] / IF(Table1[[#This Row],[config]]=0,144781,7618)) * 1000</f>
        <v>0.52809876065690031</v>
      </c>
      <c r="AA277">
        <f>(Table1[[#This Row],[Dense-Equivalent Throughput (GOPS)]] / 654.74 )/ IF(Table1[[#This Row],[config]]=0, 42381, 7618) * 10^9</f>
        <v>2755.4126398593216</v>
      </c>
      <c r="AB277">
        <f>IF(Table1[[#This Row],[config]]=0, 2860, 2210) * (Table1[[#This Row],[cycles]] / 70) / 1000</f>
        <v>2.4514285714285711</v>
      </c>
    </row>
    <row r="278" spans="1:28" x14ac:dyDescent="0.25">
      <c r="A278" t="s">
        <v>20</v>
      </c>
      <c r="B278" t="s">
        <v>24</v>
      </c>
      <c r="C278">
        <v>3</v>
      </c>
      <c r="D278">
        <v>109</v>
      </c>
      <c r="E278">
        <v>32</v>
      </c>
      <c r="F278">
        <v>32</v>
      </c>
      <c r="G278">
        <v>32</v>
      </c>
      <c r="H278">
        <v>30</v>
      </c>
      <c r="I278">
        <v>18</v>
      </c>
      <c r="J278">
        <v>18</v>
      </c>
      <c r="K278">
        <v>0</v>
      </c>
      <c r="L278">
        <v>32</v>
      </c>
      <c r="M278">
        <v>0.57809999999999995</v>
      </c>
      <c r="N278">
        <v>65536</v>
      </c>
      <c r="O278">
        <v>19440</v>
      </c>
      <c r="P278">
        <v>0.70340000000000003</v>
      </c>
      <c r="Q278">
        <v>64</v>
      </c>
      <c r="R278">
        <v>47.1</v>
      </c>
      <c r="S278" t="b">
        <v>1</v>
      </c>
      <c r="T278">
        <v>0.91428571400000003</v>
      </c>
      <c r="U278">
        <v>276</v>
      </c>
      <c r="V278">
        <f>Table1[[#This Row],[orig_m]]+Table1[[#This Row],[orig_n]]+Table1[[#This Row],[orig_k]]-2</f>
        <v>94</v>
      </c>
      <c r="W278">
        <f>Table1[[#This Row],[Dense Baseline]]-Table1[[#This Row],[cycles]]</f>
        <v>30</v>
      </c>
      <c r="X278">
        <f>(Table1[[#This Row],[eff_macs]]/Table1[[#This Row],[cycles]])*0.07</f>
        <v>21.262500000000003</v>
      </c>
      <c r="Y278">
        <f>(Table1[[#This Row],[orig_macs]]/Table1[[#This Row],[cycles]])*0.07</f>
        <v>71.680000000000007</v>
      </c>
      <c r="Z278">
        <f>(Table1[[#This Row],[Dense-Equivalent Throughput (GOPS)]] / IF(Table1[[#This Row],[config]]=0,144781,7618)) * 1000</f>
        <v>0.49509258811584395</v>
      </c>
      <c r="AA278">
        <f>(Table1[[#This Row],[Dense-Equivalent Throughput (GOPS)]] / 654.74 )/ IF(Table1[[#This Row],[config]]=0, 42381, 7618) * 10^9</f>
        <v>2583.1993498681145</v>
      </c>
      <c r="AB278">
        <f>IF(Table1[[#This Row],[config]]=0, 2860, 2210) * (Table1[[#This Row],[cycles]] / 70) / 1000</f>
        <v>2.6148571428571428</v>
      </c>
    </row>
    <row r="279" spans="1:28" x14ac:dyDescent="0.25">
      <c r="A279" t="s">
        <v>20</v>
      </c>
      <c r="B279" t="s">
        <v>24</v>
      </c>
      <c r="C279">
        <v>3</v>
      </c>
      <c r="D279">
        <v>110</v>
      </c>
      <c r="E279">
        <v>32</v>
      </c>
      <c r="F279">
        <v>32</v>
      </c>
      <c r="G279">
        <v>32</v>
      </c>
      <c r="H279">
        <v>30</v>
      </c>
      <c r="I279">
        <v>18</v>
      </c>
      <c r="J279">
        <v>18</v>
      </c>
      <c r="K279">
        <v>0</v>
      </c>
      <c r="L279">
        <v>32</v>
      </c>
      <c r="M279">
        <v>0.57809999999999995</v>
      </c>
      <c r="N279">
        <v>65536</v>
      </c>
      <c r="O279">
        <v>19440</v>
      </c>
      <c r="P279">
        <v>0.70340000000000003</v>
      </c>
      <c r="Q279">
        <v>64</v>
      </c>
      <c r="R279">
        <v>54.3</v>
      </c>
      <c r="S279" t="b">
        <v>1</v>
      </c>
      <c r="T279">
        <v>0.91428571400000003</v>
      </c>
      <c r="U279">
        <v>277</v>
      </c>
      <c r="V279">
        <f>Table1[[#This Row],[orig_m]]+Table1[[#This Row],[orig_n]]+Table1[[#This Row],[orig_k]]-2</f>
        <v>94</v>
      </c>
      <c r="W279">
        <f>Table1[[#This Row],[Dense Baseline]]-Table1[[#This Row],[cycles]]</f>
        <v>30</v>
      </c>
      <c r="X279">
        <f>(Table1[[#This Row],[eff_macs]]/Table1[[#This Row],[cycles]])*0.07</f>
        <v>21.262500000000003</v>
      </c>
      <c r="Y279">
        <f>(Table1[[#This Row],[orig_macs]]/Table1[[#This Row],[cycles]])*0.07</f>
        <v>71.680000000000007</v>
      </c>
      <c r="Z279">
        <f>(Table1[[#This Row],[Dense-Equivalent Throughput (GOPS)]] / IF(Table1[[#This Row],[config]]=0,144781,7618)) * 1000</f>
        <v>0.49509258811584395</v>
      </c>
      <c r="AA279">
        <f>(Table1[[#This Row],[Dense-Equivalent Throughput (GOPS)]] / 654.74 )/ IF(Table1[[#This Row],[config]]=0, 42381, 7618) * 10^9</f>
        <v>2583.1993498681145</v>
      </c>
      <c r="AB279">
        <f>IF(Table1[[#This Row],[config]]=0, 2860, 2210) * (Table1[[#This Row],[cycles]] / 70) / 1000</f>
        <v>2.6148571428571428</v>
      </c>
    </row>
    <row r="280" spans="1:28" x14ac:dyDescent="0.25">
      <c r="A280" t="s">
        <v>20</v>
      </c>
      <c r="B280" t="s">
        <v>24</v>
      </c>
      <c r="C280">
        <v>3</v>
      </c>
      <c r="D280">
        <v>111</v>
      </c>
      <c r="E280">
        <v>32</v>
      </c>
      <c r="F280">
        <v>32</v>
      </c>
      <c r="G280">
        <v>32</v>
      </c>
      <c r="H280">
        <v>30</v>
      </c>
      <c r="I280">
        <v>22</v>
      </c>
      <c r="J280">
        <v>18</v>
      </c>
      <c r="K280">
        <v>0</v>
      </c>
      <c r="L280">
        <v>32</v>
      </c>
      <c r="M280">
        <v>0.54300000000000004</v>
      </c>
      <c r="N280">
        <v>65536</v>
      </c>
      <c r="O280">
        <v>23760</v>
      </c>
      <c r="P280">
        <v>0.63749999999999996</v>
      </c>
      <c r="Q280">
        <v>68</v>
      </c>
      <c r="R280">
        <v>92</v>
      </c>
      <c r="S280" t="b">
        <v>1</v>
      </c>
      <c r="T280">
        <v>0.97142857100000002</v>
      </c>
      <c r="U280">
        <v>278</v>
      </c>
      <c r="V280">
        <f>Table1[[#This Row],[orig_m]]+Table1[[#This Row],[orig_n]]+Table1[[#This Row],[orig_k]]-2</f>
        <v>94</v>
      </c>
      <c r="W280">
        <f>Table1[[#This Row],[Dense Baseline]]-Table1[[#This Row],[cycles]]</f>
        <v>26</v>
      </c>
      <c r="X280">
        <f>(Table1[[#This Row],[eff_macs]]/Table1[[#This Row],[cycles]])*0.07</f>
        <v>24.45882352941177</v>
      </c>
      <c r="Y280">
        <f>(Table1[[#This Row],[orig_macs]]/Table1[[#This Row],[cycles]])*0.07</f>
        <v>67.463529411764711</v>
      </c>
      <c r="Z280">
        <f>(Table1[[#This Row],[Dense-Equivalent Throughput (GOPS)]] / IF(Table1[[#This Row],[config]]=0,144781,7618)) * 1000</f>
        <v>0.4659694946972649</v>
      </c>
      <c r="AA280">
        <f>(Table1[[#This Row],[Dense-Equivalent Throughput (GOPS)]] / 654.74 )/ IF(Table1[[#This Row],[config]]=0, 42381, 7618) * 10^9</f>
        <v>2431.246446934696</v>
      </c>
      <c r="AB280">
        <f>IF(Table1[[#This Row],[config]]=0, 2860, 2210) * (Table1[[#This Row],[cycles]] / 70) / 1000</f>
        <v>2.778285714285714</v>
      </c>
    </row>
    <row r="281" spans="1:28" x14ac:dyDescent="0.25">
      <c r="A281" t="s">
        <v>20</v>
      </c>
      <c r="B281" t="s">
        <v>24</v>
      </c>
      <c r="C281">
        <v>3</v>
      </c>
      <c r="D281">
        <v>112</v>
      </c>
      <c r="E281">
        <v>32</v>
      </c>
      <c r="F281">
        <v>32</v>
      </c>
      <c r="G281">
        <v>32</v>
      </c>
      <c r="H281">
        <v>30</v>
      </c>
      <c r="I281">
        <v>13</v>
      </c>
      <c r="J281">
        <v>18</v>
      </c>
      <c r="K281">
        <v>0</v>
      </c>
      <c r="L281">
        <v>32</v>
      </c>
      <c r="M281">
        <v>0.62209999999999999</v>
      </c>
      <c r="N281">
        <v>65536</v>
      </c>
      <c r="O281">
        <v>14040</v>
      </c>
      <c r="P281">
        <v>0.78580000000000005</v>
      </c>
      <c r="Q281">
        <v>59</v>
      </c>
      <c r="R281">
        <v>39</v>
      </c>
      <c r="S281" t="b">
        <v>1</v>
      </c>
      <c r="T281">
        <v>0.84285714300000003</v>
      </c>
      <c r="U281">
        <v>279</v>
      </c>
      <c r="V281">
        <f>Table1[[#This Row],[orig_m]]+Table1[[#This Row],[orig_n]]+Table1[[#This Row],[orig_k]]-2</f>
        <v>94</v>
      </c>
      <c r="W281">
        <f>Table1[[#This Row],[Dense Baseline]]-Table1[[#This Row],[cycles]]</f>
        <v>35</v>
      </c>
      <c r="X281">
        <f>(Table1[[#This Row],[eff_macs]]/Table1[[#This Row],[cycles]])*0.07</f>
        <v>16.657627118644069</v>
      </c>
      <c r="Y281">
        <f>(Table1[[#This Row],[orig_macs]]/Table1[[#This Row],[cycles]])*0.07</f>
        <v>77.754576271186451</v>
      </c>
      <c r="Z281">
        <f>(Table1[[#This Row],[Dense-Equivalent Throughput (GOPS)]] / IF(Table1[[#This Row],[config]]=0,144781,7618)) * 1000</f>
        <v>0.5370495871087122</v>
      </c>
      <c r="AA281">
        <f>(Table1[[#This Row],[Dense-Equivalent Throughput (GOPS)]] / 654.74 )/ IF(Table1[[#This Row],[config]]=0, 42381, 7618) * 10^9</f>
        <v>2802.11454900948</v>
      </c>
      <c r="AB281">
        <f>IF(Table1[[#This Row],[config]]=0, 2860, 2210) * (Table1[[#This Row],[cycles]] / 70) / 1000</f>
        <v>2.4105714285714286</v>
      </c>
    </row>
    <row r="282" spans="1:28" x14ac:dyDescent="0.25">
      <c r="A282" t="s">
        <v>20</v>
      </c>
      <c r="B282" t="s">
        <v>24</v>
      </c>
      <c r="C282">
        <v>3</v>
      </c>
      <c r="D282">
        <v>113</v>
      </c>
      <c r="E282">
        <v>32</v>
      </c>
      <c r="F282">
        <v>32</v>
      </c>
      <c r="G282">
        <v>32</v>
      </c>
      <c r="H282">
        <v>30</v>
      </c>
      <c r="I282">
        <v>18</v>
      </c>
      <c r="J282">
        <v>18</v>
      </c>
      <c r="K282">
        <v>0</v>
      </c>
      <c r="L282">
        <v>32</v>
      </c>
      <c r="M282">
        <v>0.57809999999999995</v>
      </c>
      <c r="N282">
        <v>65536</v>
      </c>
      <c r="O282">
        <v>19440</v>
      </c>
      <c r="P282">
        <v>0.70340000000000003</v>
      </c>
      <c r="Q282">
        <v>64</v>
      </c>
      <c r="R282">
        <v>50.8</v>
      </c>
      <c r="S282" t="b">
        <v>1</v>
      </c>
      <c r="T282">
        <v>0.91428571400000003</v>
      </c>
      <c r="U282">
        <v>280</v>
      </c>
      <c r="V282">
        <f>Table1[[#This Row],[orig_m]]+Table1[[#This Row],[orig_n]]+Table1[[#This Row],[orig_k]]-2</f>
        <v>94</v>
      </c>
      <c r="W282">
        <f>Table1[[#This Row],[Dense Baseline]]-Table1[[#This Row],[cycles]]</f>
        <v>30</v>
      </c>
      <c r="X282">
        <f>(Table1[[#This Row],[eff_macs]]/Table1[[#This Row],[cycles]])*0.07</f>
        <v>21.262500000000003</v>
      </c>
      <c r="Y282">
        <f>(Table1[[#This Row],[orig_macs]]/Table1[[#This Row],[cycles]])*0.07</f>
        <v>71.680000000000007</v>
      </c>
      <c r="Z282">
        <f>(Table1[[#This Row],[Dense-Equivalent Throughput (GOPS)]] / IF(Table1[[#This Row],[config]]=0,144781,7618)) * 1000</f>
        <v>0.49509258811584395</v>
      </c>
      <c r="AA282">
        <f>(Table1[[#This Row],[Dense-Equivalent Throughput (GOPS)]] / 654.74 )/ IF(Table1[[#This Row],[config]]=0, 42381, 7618) * 10^9</f>
        <v>2583.1993498681145</v>
      </c>
      <c r="AB282">
        <f>IF(Table1[[#This Row],[config]]=0, 2860, 2210) * (Table1[[#This Row],[cycles]] / 70) / 1000</f>
        <v>2.6148571428571428</v>
      </c>
    </row>
    <row r="283" spans="1:28" x14ac:dyDescent="0.25">
      <c r="A283" t="s">
        <v>20</v>
      </c>
      <c r="B283" t="s">
        <v>24</v>
      </c>
      <c r="C283">
        <v>3</v>
      </c>
      <c r="D283">
        <v>114</v>
      </c>
      <c r="E283">
        <v>32</v>
      </c>
      <c r="F283">
        <v>32</v>
      </c>
      <c r="G283">
        <v>32</v>
      </c>
      <c r="H283">
        <v>30</v>
      </c>
      <c r="I283">
        <v>17</v>
      </c>
      <c r="J283">
        <v>18</v>
      </c>
      <c r="K283">
        <v>0</v>
      </c>
      <c r="L283">
        <v>32</v>
      </c>
      <c r="M283">
        <v>0.58689999999999998</v>
      </c>
      <c r="N283">
        <v>65536</v>
      </c>
      <c r="O283">
        <v>18360</v>
      </c>
      <c r="P283">
        <v>0.7198</v>
      </c>
      <c r="Q283">
        <v>63</v>
      </c>
      <c r="R283">
        <v>49.6</v>
      </c>
      <c r="S283" t="b">
        <v>1</v>
      </c>
      <c r="T283">
        <v>0.9</v>
      </c>
      <c r="U283">
        <v>281</v>
      </c>
      <c r="V283">
        <f>Table1[[#This Row],[orig_m]]+Table1[[#This Row],[orig_n]]+Table1[[#This Row],[orig_k]]-2</f>
        <v>94</v>
      </c>
      <c r="W283">
        <f>Table1[[#This Row],[Dense Baseline]]-Table1[[#This Row],[cycles]]</f>
        <v>31</v>
      </c>
      <c r="X283">
        <f>(Table1[[#This Row],[eff_macs]]/Table1[[#This Row],[cycles]])*0.07</f>
        <v>20.400000000000002</v>
      </c>
      <c r="Y283">
        <f>(Table1[[#This Row],[orig_macs]]/Table1[[#This Row],[cycles]])*0.07</f>
        <v>72.817777777777778</v>
      </c>
      <c r="Z283">
        <f>(Table1[[#This Row],[Dense-Equivalent Throughput (GOPS)]] / IF(Table1[[#This Row],[config]]=0,144781,7618)) * 1000</f>
        <v>0.50295120062561927</v>
      </c>
      <c r="AA283">
        <f>(Table1[[#This Row],[Dense-Equivalent Throughput (GOPS)]] / 654.74 )/ IF(Table1[[#This Row],[config]]=0, 42381, 7618) * 10^9</f>
        <v>2624.2025141517352</v>
      </c>
      <c r="AB283">
        <f>IF(Table1[[#This Row],[config]]=0, 2860, 2210) * (Table1[[#This Row],[cycles]] / 70) / 1000</f>
        <v>2.5739999999999998</v>
      </c>
    </row>
    <row r="284" spans="1:28" x14ac:dyDescent="0.25">
      <c r="A284" t="s">
        <v>20</v>
      </c>
      <c r="B284" t="s">
        <v>24</v>
      </c>
      <c r="C284">
        <v>3</v>
      </c>
      <c r="D284">
        <v>115</v>
      </c>
      <c r="E284">
        <v>32</v>
      </c>
      <c r="F284">
        <v>32</v>
      </c>
      <c r="G284">
        <v>32</v>
      </c>
      <c r="H284">
        <v>28</v>
      </c>
      <c r="I284">
        <v>18</v>
      </c>
      <c r="J284">
        <v>20</v>
      </c>
      <c r="K284">
        <v>0</v>
      </c>
      <c r="L284">
        <v>32</v>
      </c>
      <c r="M284">
        <v>0.55079999999999996</v>
      </c>
      <c r="N284">
        <v>65536</v>
      </c>
      <c r="O284">
        <v>20160</v>
      </c>
      <c r="P284">
        <v>0.69240000000000002</v>
      </c>
      <c r="Q284">
        <v>64</v>
      </c>
      <c r="R284">
        <v>108.1</v>
      </c>
      <c r="S284" t="b">
        <v>1</v>
      </c>
      <c r="T284">
        <v>0.91428571400000003</v>
      </c>
      <c r="U284">
        <v>282</v>
      </c>
      <c r="V284">
        <f>Table1[[#This Row],[orig_m]]+Table1[[#This Row],[orig_n]]+Table1[[#This Row],[orig_k]]-2</f>
        <v>94</v>
      </c>
      <c r="W284">
        <f>Table1[[#This Row],[Dense Baseline]]-Table1[[#This Row],[cycles]]</f>
        <v>30</v>
      </c>
      <c r="X284">
        <f>(Table1[[#This Row],[eff_macs]]/Table1[[#This Row],[cycles]])*0.07</f>
        <v>22.05</v>
      </c>
      <c r="Y284">
        <f>(Table1[[#This Row],[orig_macs]]/Table1[[#This Row],[cycles]])*0.07</f>
        <v>71.680000000000007</v>
      </c>
      <c r="Z284">
        <f>(Table1[[#This Row],[Dense-Equivalent Throughput (GOPS)]] / IF(Table1[[#This Row],[config]]=0,144781,7618)) * 1000</f>
        <v>0.49509258811584395</v>
      </c>
      <c r="AA284">
        <f>(Table1[[#This Row],[Dense-Equivalent Throughput (GOPS)]] / 654.74 )/ IF(Table1[[#This Row],[config]]=0, 42381, 7618) * 10^9</f>
        <v>2583.1993498681145</v>
      </c>
      <c r="AB284">
        <f>IF(Table1[[#This Row],[config]]=0, 2860, 2210) * (Table1[[#This Row],[cycles]] / 70) / 1000</f>
        <v>2.6148571428571428</v>
      </c>
    </row>
    <row r="285" spans="1:28" x14ac:dyDescent="0.25">
      <c r="A285" t="s">
        <v>20</v>
      </c>
      <c r="B285" t="s">
        <v>24</v>
      </c>
      <c r="C285">
        <v>3</v>
      </c>
      <c r="D285">
        <v>116</v>
      </c>
      <c r="E285">
        <v>32</v>
      </c>
      <c r="F285">
        <v>32</v>
      </c>
      <c r="G285">
        <v>32</v>
      </c>
      <c r="H285">
        <v>28</v>
      </c>
      <c r="I285">
        <v>18</v>
      </c>
      <c r="J285">
        <v>20</v>
      </c>
      <c r="K285">
        <v>0</v>
      </c>
      <c r="L285">
        <v>32</v>
      </c>
      <c r="M285">
        <v>0.55079999999999996</v>
      </c>
      <c r="N285">
        <v>65536</v>
      </c>
      <c r="O285">
        <v>20160</v>
      </c>
      <c r="P285">
        <v>0.69240000000000002</v>
      </c>
      <c r="Q285">
        <v>64</v>
      </c>
      <c r="R285">
        <v>39.4</v>
      </c>
      <c r="S285" t="b">
        <v>1</v>
      </c>
      <c r="T285">
        <v>0.91428571400000003</v>
      </c>
      <c r="U285">
        <v>283</v>
      </c>
      <c r="V285">
        <f>Table1[[#This Row],[orig_m]]+Table1[[#This Row],[orig_n]]+Table1[[#This Row],[orig_k]]-2</f>
        <v>94</v>
      </c>
      <c r="W285">
        <f>Table1[[#This Row],[Dense Baseline]]-Table1[[#This Row],[cycles]]</f>
        <v>30</v>
      </c>
      <c r="X285">
        <f>(Table1[[#This Row],[eff_macs]]/Table1[[#This Row],[cycles]])*0.07</f>
        <v>22.05</v>
      </c>
      <c r="Y285">
        <f>(Table1[[#This Row],[orig_macs]]/Table1[[#This Row],[cycles]])*0.07</f>
        <v>71.680000000000007</v>
      </c>
      <c r="Z285">
        <f>(Table1[[#This Row],[Dense-Equivalent Throughput (GOPS)]] / IF(Table1[[#This Row],[config]]=0,144781,7618)) * 1000</f>
        <v>0.49509258811584395</v>
      </c>
      <c r="AA285">
        <f>(Table1[[#This Row],[Dense-Equivalent Throughput (GOPS)]] / 654.74 )/ IF(Table1[[#This Row],[config]]=0, 42381, 7618) * 10^9</f>
        <v>2583.1993498681145</v>
      </c>
      <c r="AB285">
        <f>IF(Table1[[#This Row],[config]]=0, 2860, 2210) * (Table1[[#This Row],[cycles]] / 70) / 1000</f>
        <v>2.6148571428571428</v>
      </c>
    </row>
    <row r="286" spans="1:28" x14ac:dyDescent="0.25">
      <c r="A286" t="s">
        <v>20</v>
      </c>
      <c r="B286" t="s">
        <v>24</v>
      </c>
      <c r="C286">
        <v>3</v>
      </c>
      <c r="D286">
        <v>117</v>
      </c>
      <c r="E286">
        <v>32</v>
      </c>
      <c r="F286">
        <v>32</v>
      </c>
      <c r="G286">
        <v>32</v>
      </c>
      <c r="H286">
        <v>28</v>
      </c>
      <c r="I286">
        <v>22</v>
      </c>
      <c r="J286">
        <v>20</v>
      </c>
      <c r="K286">
        <v>0</v>
      </c>
      <c r="L286">
        <v>32</v>
      </c>
      <c r="M286">
        <v>0.51170000000000004</v>
      </c>
      <c r="N286">
        <v>65536</v>
      </c>
      <c r="O286">
        <v>24640</v>
      </c>
      <c r="P286">
        <v>0.624</v>
      </c>
      <c r="Q286">
        <v>68</v>
      </c>
      <c r="R286">
        <v>48</v>
      </c>
      <c r="S286" t="b">
        <v>1</v>
      </c>
      <c r="T286">
        <v>0.97142857100000002</v>
      </c>
      <c r="U286">
        <v>284</v>
      </c>
      <c r="V286">
        <f>Table1[[#This Row],[orig_m]]+Table1[[#This Row],[orig_n]]+Table1[[#This Row],[orig_k]]-2</f>
        <v>94</v>
      </c>
      <c r="W286">
        <f>Table1[[#This Row],[Dense Baseline]]-Table1[[#This Row],[cycles]]</f>
        <v>26</v>
      </c>
      <c r="X286">
        <f>(Table1[[#This Row],[eff_macs]]/Table1[[#This Row],[cycles]])*0.07</f>
        <v>25.364705882352943</v>
      </c>
      <c r="Y286">
        <f>(Table1[[#This Row],[orig_macs]]/Table1[[#This Row],[cycles]])*0.07</f>
        <v>67.463529411764711</v>
      </c>
      <c r="Z286">
        <f>(Table1[[#This Row],[Dense-Equivalent Throughput (GOPS)]] / IF(Table1[[#This Row],[config]]=0,144781,7618)) * 1000</f>
        <v>0.4659694946972649</v>
      </c>
      <c r="AA286">
        <f>(Table1[[#This Row],[Dense-Equivalent Throughput (GOPS)]] / 654.74 )/ IF(Table1[[#This Row],[config]]=0, 42381, 7618) * 10^9</f>
        <v>2431.246446934696</v>
      </c>
      <c r="AB286">
        <f>IF(Table1[[#This Row],[config]]=0, 2860, 2210) * (Table1[[#This Row],[cycles]] / 70) / 1000</f>
        <v>2.778285714285714</v>
      </c>
    </row>
    <row r="287" spans="1:28" x14ac:dyDescent="0.25">
      <c r="A287" t="s">
        <v>20</v>
      </c>
      <c r="B287" t="s">
        <v>24</v>
      </c>
      <c r="C287">
        <v>3</v>
      </c>
      <c r="D287">
        <v>118</v>
      </c>
      <c r="E287">
        <v>32</v>
      </c>
      <c r="F287">
        <v>32</v>
      </c>
      <c r="G287">
        <v>32</v>
      </c>
      <c r="H287">
        <v>28</v>
      </c>
      <c r="I287">
        <v>13</v>
      </c>
      <c r="J287">
        <v>20</v>
      </c>
      <c r="K287">
        <v>0</v>
      </c>
      <c r="L287">
        <v>32</v>
      </c>
      <c r="M287">
        <v>0.59960000000000002</v>
      </c>
      <c r="N287">
        <v>65536</v>
      </c>
      <c r="O287">
        <v>14560</v>
      </c>
      <c r="P287">
        <v>0.77780000000000005</v>
      </c>
      <c r="Q287">
        <v>59</v>
      </c>
      <c r="R287">
        <v>128.80000000000001</v>
      </c>
      <c r="S287" t="b">
        <v>1</v>
      </c>
      <c r="T287">
        <v>0.84285714300000003</v>
      </c>
      <c r="U287">
        <v>285</v>
      </c>
      <c r="V287">
        <f>Table1[[#This Row],[orig_m]]+Table1[[#This Row],[orig_n]]+Table1[[#This Row],[orig_k]]-2</f>
        <v>94</v>
      </c>
      <c r="W287">
        <f>Table1[[#This Row],[Dense Baseline]]-Table1[[#This Row],[cycles]]</f>
        <v>35</v>
      </c>
      <c r="X287">
        <f>(Table1[[#This Row],[eff_macs]]/Table1[[#This Row],[cycles]])*0.07</f>
        <v>17.274576271186444</v>
      </c>
      <c r="Y287">
        <f>(Table1[[#This Row],[orig_macs]]/Table1[[#This Row],[cycles]])*0.07</f>
        <v>77.754576271186451</v>
      </c>
      <c r="Z287">
        <f>(Table1[[#This Row],[Dense-Equivalent Throughput (GOPS)]] / IF(Table1[[#This Row],[config]]=0,144781,7618)) * 1000</f>
        <v>0.5370495871087122</v>
      </c>
      <c r="AA287">
        <f>(Table1[[#This Row],[Dense-Equivalent Throughput (GOPS)]] / 654.74 )/ IF(Table1[[#This Row],[config]]=0, 42381, 7618) * 10^9</f>
        <v>2802.11454900948</v>
      </c>
      <c r="AB287">
        <f>IF(Table1[[#This Row],[config]]=0, 2860, 2210) * (Table1[[#This Row],[cycles]] / 70) / 1000</f>
        <v>2.4105714285714286</v>
      </c>
    </row>
    <row r="288" spans="1:28" x14ac:dyDescent="0.25">
      <c r="A288" t="s">
        <v>20</v>
      </c>
      <c r="B288" t="s">
        <v>24</v>
      </c>
      <c r="C288">
        <v>3</v>
      </c>
      <c r="D288">
        <v>119</v>
      </c>
      <c r="E288">
        <v>32</v>
      </c>
      <c r="F288">
        <v>32</v>
      </c>
      <c r="G288">
        <v>32</v>
      </c>
      <c r="H288">
        <v>28</v>
      </c>
      <c r="I288">
        <v>18</v>
      </c>
      <c r="J288">
        <v>20</v>
      </c>
      <c r="K288">
        <v>0</v>
      </c>
      <c r="L288">
        <v>32</v>
      </c>
      <c r="M288">
        <v>0.55079999999999996</v>
      </c>
      <c r="N288">
        <v>65536</v>
      </c>
      <c r="O288">
        <v>20160</v>
      </c>
      <c r="P288">
        <v>0.69240000000000002</v>
      </c>
      <c r="Q288">
        <v>64</v>
      </c>
      <c r="R288">
        <v>49.4</v>
      </c>
      <c r="S288" t="b">
        <v>1</v>
      </c>
      <c r="T288">
        <v>0.91428571400000003</v>
      </c>
      <c r="U288">
        <v>286</v>
      </c>
      <c r="V288">
        <f>Table1[[#This Row],[orig_m]]+Table1[[#This Row],[orig_n]]+Table1[[#This Row],[orig_k]]-2</f>
        <v>94</v>
      </c>
      <c r="W288">
        <f>Table1[[#This Row],[Dense Baseline]]-Table1[[#This Row],[cycles]]</f>
        <v>30</v>
      </c>
      <c r="X288">
        <f>(Table1[[#This Row],[eff_macs]]/Table1[[#This Row],[cycles]])*0.07</f>
        <v>22.05</v>
      </c>
      <c r="Y288">
        <f>(Table1[[#This Row],[orig_macs]]/Table1[[#This Row],[cycles]])*0.07</f>
        <v>71.680000000000007</v>
      </c>
      <c r="Z288">
        <f>(Table1[[#This Row],[Dense-Equivalent Throughput (GOPS)]] / IF(Table1[[#This Row],[config]]=0,144781,7618)) * 1000</f>
        <v>0.49509258811584395</v>
      </c>
      <c r="AA288">
        <f>(Table1[[#This Row],[Dense-Equivalent Throughput (GOPS)]] / 654.74 )/ IF(Table1[[#This Row],[config]]=0, 42381, 7618) * 10^9</f>
        <v>2583.1993498681145</v>
      </c>
      <c r="AB288">
        <f>IF(Table1[[#This Row],[config]]=0, 2860, 2210) * (Table1[[#This Row],[cycles]] / 70) / 1000</f>
        <v>2.6148571428571428</v>
      </c>
    </row>
    <row r="289" spans="1:28" x14ac:dyDescent="0.25">
      <c r="A289" t="s">
        <v>20</v>
      </c>
      <c r="B289" t="s">
        <v>24</v>
      </c>
      <c r="C289">
        <v>3</v>
      </c>
      <c r="D289">
        <v>120</v>
      </c>
      <c r="E289">
        <v>32</v>
      </c>
      <c r="F289">
        <v>32</v>
      </c>
      <c r="G289">
        <v>32</v>
      </c>
      <c r="H289">
        <v>28</v>
      </c>
      <c r="I289">
        <v>17</v>
      </c>
      <c r="J289">
        <v>20</v>
      </c>
      <c r="K289">
        <v>0</v>
      </c>
      <c r="L289">
        <v>32</v>
      </c>
      <c r="M289">
        <v>0.5605</v>
      </c>
      <c r="N289">
        <v>65536</v>
      </c>
      <c r="O289">
        <v>19040</v>
      </c>
      <c r="P289">
        <v>0.70950000000000002</v>
      </c>
      <c r="Q289">
        <v>63</v>
      </c>
      <c r="R289">
        <v>45.3</v>
      </c>
      <c r="S289" t="b">
        <v>1</v>
      </c>
      <c r="T289">
        <v>0.9</v>
      </c>
      <c r="U289">
        <v>287</v>
      </c>
      <c r="V289">
        <f>Table1[[#This Row],[orig_m]]+Table1[[#This Row],[orig_n]]+Table1[[#This Row],[orig_k]]-2</f>
        <v>94</v>
      </c>
      <c r="W289">
        <f>Table1[[#This Row],[Dense Baseline]]-Table1[[#This Row],[cycles]]</f>
        <v>31</v>
      </c>
      <c r="X289">
        <f>(Table1[[#This Row],[eff_macs]]/Table1[[#This Row],[cycles]])*0.07</f>
        <v>21.155555555555559</v>
      </c>
      <c r="Y289">
        <f>(Table1[[#This Row],[orig_macs]]/Table1[[#This Row],[cycles]])*0.07</f>
        <v>72.817777777777778</v>
      </c>
      <c r="Z289">
        <f>(Table1[[#This Row],[Dense-Equivalent Throughput (GOPS)]] / IF(Table1[[#This Row],[config]]=0,144781,7618)) * 1000</f>
        <v>0.50295120062561927</v>
      </c>
      <c r="AA289">
        <f>(Table1[[#This Row],[Dense-Equivalent Throughput (GOPS)]] / 654.74 )/ IF(Table1[[#This Row],[config]]=0, 42381, 7618) * 10^9</f>
        <v>2624.2025141517352</v>
      </c>
      <c r="AB289">
        <f>IF(Table1[[#This Row],[config]]=0, 2860, 2210) * (Table1[[#This Row],[cycles]] / 70) / 1000</f>
        <v>2.5739999999999998</v>
      </c>
    </row>
    <row r="290" spans="1:28" x14ac:dyDescent="0.25">
      <c r="A290" t="s">
        <v>20</v>
      </c>
      <c r="B290" t="s">
        <v>24</v>
      </c>
      <c r="C290">
        <v>3</v>
      </c>
      <c r="D290">
        <v>121</v>
      </c>
      <c r="E290">
        <v>32</v>
      </c>
      <c r="F290">
        <v>32</v>
      </c>
      <c r="G290">
        <v>32</v>
      </c>
      <c r="H290">
        <v>30</v>
      </c>
      <c r="I290">
        <v>18</v>
      </c>
      <c r="J290">
        <v>22</v>
      </c>
      <c r="K290">
        <v>0</v>
      </c>
      <c r="L290">
        <v>32</v>
      </c>
      <c r="M290">
        <v>0.4844</v>
      </c>
      <c r="N290">
        <v>65536</v>
      </c>
      <c r="O290">
        <v>23760</v>
      </c>
      <c r="P290">
        <v>0.63749999999999996</v>
      </c>
      <c r="Q290">
        <v>68</v>
      </c>
      <c r="R290">
        <v>46.8</v>
      </c>
      <c r="S290" t="b">
        <v>1</v>
      </c>
      <c r="T290">
        <v>0.97142857100000002</v>
      </c>
      <c r="U290">
        <v>288</v>
      </c>
      <c r="V290">
        <f>Table1[[#This Row],[orig_m]]+Table1[[#This Row],[orig_n]]+Table1[[#This Row],[orig_k]]-2</f>
        <v>94</v>
      </c>
      <c r="W290">
        <f>Table1[[#This Row],[Dense Baseline]]-Table1[[#This Row],[cycles]]</f>
        <v>26</v>
      </c>
      <c r="X290">
        <f>(Table1[[#This Row],[eff_macs]]/Table1[[#This Row],[cycles]])*0.07</f>
        <v>24.45882352941177</v>
      </c>
      <c r="Y290">
        <f>(Table1[[#This Row],[orig_macs]]/Table1[[#This Row],[cycles]])*0.07</f>
        <v>67.463529411764711</v>
      </c>
      <c r="Z290">
        <f>(Table1[[#This Row],[Dense-Equivalent Throughput (GOPS)]] / IF(Table1[[#This Row],[config]]=0,144781,7618)) * 1000</f>
        <v>0.4659694946972649</v>
      </c>
      <c r="AA290">
        <f>(Table1[[#This Row],[Dense-Equivalent Throughput (GOPS)]] / 654.74 )/ IF(Table1[[#This Row],[config]]=0, 42381, 7618) * 10^9</f>
        <v>2431.246446934696</v>
      </c>
      <c r="AB290">
        <f>IF(Table1[[#This Row],[config]]=0, 2860, 2210) * (Table1[[#This Row],[cycles]] / 70) / 1000</f>
        <v>2.778285714285714</v>
      </c>
    </row>
    <row r="291" spans="1:28" x14ac:dyDescent="0.25">
      <c r="A291" t="s">
        <v>20</v>
      </c>
      <c r="B291" t="s">
        <v>24</v>
      </c>
      <c r="C291">
        <v>3</v>
      </c>
      <c r="D291">
        <v>122</v>
      </c>
      <c r="E291">
        <v>32</v>
      </c>
      <c r="F291">
        <v>32</v>
      </c>
      <c r="G291">
        <v>32</v>
      </c>
      <c r="H291">
        <v>30</v>
      </c>
      <c r="I291">
        <v>18</v>
      </c>
      <c r="J291">
        <v>22</v>
      </c>
      <c r="K291">
        <v>0</v>
      </c>
      <c r="L291">
        <v>32</v>
      </c>
      <c r="M291">
        <v>0.4844</v>
      </c>
      <c r="N291">
        <v>65536</v>
      </c>
      <c r="O291">
        <v>23760</v>
      </c>
      <c r="P291">
        <v>0.63749999999999996</v>
      </c>
      <c r="Q291">
        <v>68</v>
      </c>
      <c r="R291">
        <v>98.9</v>
      </c>
      <c r="S291" t="b">
        <v>1</v>
      </c>
      <c r="T291">
        <v>0.97142857100000002</v>
      </c>
      <c r="U291">
        <v>289</v>
      </c>
      <c r="V291">
        <f>Table1[[#This Row],[orig_m]]+Table1[[#This Row],[orig_n]]+Table1[[#This Row],[orig_k]]-2</f>
        <v>94</v>
      </c>
      <c r="W291">
        <f>Table1[[#This Row],[Dense Baseline]]-Table1[[#This Row],[cycles]]</f>
        <v>26</v>
      </c>
      <c r="X291">
        <f>(Table1[[#This Row],[eff_macs]]/Table1[[#This Row],[cycles]])*0.07</f>
        <v>24.45882352941177</v>
      </c>
      <c r="Y291">
        <f>(Table1[[#This Row],[orig_macs]]/Table1[[#This Row],[cycles]])*0.07</f>
        <v>67.463529411764711</v>
      </c>
      <c r="Z291">
        <f>(Table1[[#This Row],[Dense-Equivalent Throughput (GOPS)]] / IF(Table1[[#This Row],[config]]=0,144781,7618)) * 1000</f>
        <v>0.4659694946972649</v>
      </c>
      <c r="AA291">
        <f>(Table1[[#This Row],[Dense-Equivalent Throughput (GOPS)]] / 654.74 )/ IF(Table1[[#This Row],[config]]=0, 42381, 7618) * 10^9</f>
        <v>2431.246446934696</v>
      </c>
      <c r="AB291">
        <f>IF(Table1[[#This Row],[config]]=0, 2860, 2210) * (Table1[[#This Row],[cycles]] / 70) / 1000</f>
        <v>2.778285714285714</v>
      </c>
    </row>
    <row r="292" spans="1:28" x14ac:dyDescent="0.25">
      <c r="A292" t="s">
        <v>20</v>
      </c>
      <c r="B292" t="s">
        <v>24</v>
      </c>
      <c r="C292">
        <v>3</v>
      </c>
      <c r="D292">
        <v>123</v>
      </c>
      <c r="E292">
        <v>32</v>
      </c>
      <c r="F292">
        <v>32</v>
      </c>
      <c r="G292">
        <v>32</v>
      </c>
      <c r="H292">
        <v>30</v>
      </c>
      <c r="I292">
        <v>22</v>
      </c>
      <c r="J292">
        <v>22</v>
      </c>
      <c r="K292">
        <v>0</v>
      </c>
      <c r="L292">
        <v>32</v>
      </c>
      <c r="M292">
        <v>0.44140000000000001</v>
      </c>
      <c r="N292">
        <v>65536</v>
      </c>
      <c r="O292">
        <v>29040</v>
      </c>
      <c r="P292">
        <v>0.55689999999999995</v>
      </c>
      <c r="Q292">
        <v>72</v>
      </c>
      <c r="R292">
        <v>90.9</v>
      </c>
      <c r="S292" t="b">
        <v>1</v>
      </c>
      <c r="T292">
        <v>1.0285714290000001</v>
      </c>
      <c r="U292">
        <v>290</v>
      </c>
      <c r="V292">
        <f>Table1[[#This Row],[orig_m]]+Table1[[#This Row],[orig_n]]+Table1[[#This Row],[orig_k]]-2</f>
        <v>94</v>
      </c>
      <c r="W292">
        <f>Table1[[#This Row],[Dense Baseline]]-Table1[[#This Row],[cycles]]</f>
        <v>22</v>
      </c>
      <c r="X292">
        <f>(Table1[[#This Row],[eff_macs]]/Table1[[#This Row],[cycles]])*0.07</f>
        <v>28.233333333333334</v>
      </c>
      <c r="Y292">
        <f>(Table1[[#This Row],[orig_macs]]/Table1[[#This Row],[cycles]])*0.07</f>
        <v>63.715555555555561</v>
      </c>
      <c r="Z292">
        <f>(Table1[[#This Row],[Dense-Equivalent Throughput (GOPS)]] / IF(Table1[[#This Row],[config]]=0,144781,7618)) * 1000</f>
        <v>0.44008230054741687</v>
      </c>
      <c r="AA292">
        <f>(Table1[[#This Row],[Dense-Equivalent Throughput (GOPS)]] / 654.74 )/ IF(Table1[[#This Row],[config]]=0, 42381, 7618) * 10^9</f>
        <v>2296.177199882768</v>
      </c>
      <c r="AB292">
        <f>IF(Table1[[#This Row],[config]]=0, 2860, 2210) * (Table1[[#This Row],[cycles]] / 70) / 1000</f>
        <v>2.9417142857142853</v>
      </c>
    </row>
    <row r="293" spans="1:28" x14ac:dyDescent="0.25">
      <c r="A293" t="s">
        <v>20</v>
      </c>
      <c r="B293" t="s">
        <v>24</v>
      </c>
      <c r="C293">
        <v>3</v>
      </c>
      <c r="D293">
        <v>124</v>
      </c>
      <c r="E293">
        <v>32</v>
      </c>
      <c r="F293">
        <v>32</v>
      </c>
      <c r="G293">
        <v>32</v>
      </c>
      <c r="H293">
        <v>30</v>
      </c>
      <c r="I293">
        <v>13</v>
      </c>
      <c r="J293">
        <v>22</v>
      </c>
      <c r="K293">
        <v>0</v>
      </c>
      <c r="L293">
        <v>32</v>
      </c>
      <c r="M293">
        <v>0.53810000000000002</v>
      </c>
      <c r="N293">
        <v>65536</v>
      </c>
      <c r="O293">
        <v>17160</v>
      </c>
      <c r="P293">
        <v>0.73819999999999997</v>
      </c>
      <c r="Q293">
        <v>63</v>
      </c>
      <c r="R293">
        <v>48.1</v>
      </c>
      <c r="S293" t="b">
        <v>1</v>
      </c>
      <c r="T293">
        <v>0.9</v>
      </c>
      <c r="U293">
        <v>291</v>
      </c>
      <c r="V293">
        <f>Table1[[#This Row],[orig_m]]+Table1[[#This Row],[orig_n]]+Table1[[#This Row],[orig_k]]-2</f>
        <v>94</v>
      </c>
      <c r="W293">
        <f>Table1[[#This Row],[Dense Baseline]]-Table1[[#This Row],[cycles]]</f>
        <v>31</v>
      </c>
      <c r="X293">
        <f>(Table1[[#This Row],[eff_macs]]/Table1[[#This Row],[cycles]])*0.07</f>
        <v>19.06666666666667</v>
      </c>
      <c r="Y293">
        <f>(Table1[[#This Row],[orig_macs]]/Table1[[#This Row],[cycles]])*0.07</f>
        <v>72.817777777777778</v>
      </c>
      <c r="Z293">
        <f>(Table1[[#This Row],[Dense-Equivalent Throughput (GOPS)]] / IF(Table1[[#This Row],[config]]=0,144781,7618)) * 1000</f>
        <v>0.50295120062561927</v>
      </c>
      <c r="AA293">
        <f>(Table1[[#This Row],[Dense-Equivalent Throughput (GOPS)]] / 654.74 )/ IF(Table1[[#This Row],[config]]=0, 42381, 7618) * 10^9</f>
        <v>2624.2025141517352</v>
      </c>
      <c r="AB293">
        <f>IF(Table1[[#This Row],[config]]=0, 2860, 2210) * (Table1[[#This Row],[cycles]] / 70) / 1000</f>
        <v>2.5739999999999998</v>
      </c>
    </row>
    <row r="294" spans="1:28" x14ac:dyDescent="0.25">
      <c r="A294" t="s">
        <v>20</v>
      </c>
      <c r="B294" t="s">
        <v>24</v>
      </c>
      <c r="C294">
        <v>3</v>
      </c>
      <c r="D294">
        <v>125</v>
      </c>
      <c r="E294">
        <v>32</v>
      </c>
      <c r="F294">
        <v>32</v>
      </c>
      <c r="G294">
        <v>32</v>
      </c>
      <c r="H294">
        <v>30</v>
      </c>
      <c r="I294">
        <v>18</v>
      </c>
      <c r="J294">
        <v>22</v>
      </c>
      <c r="K294">
        <v>0</v>
      </c>
      <c r="L294">
        <v>32</v>
      </c>
      <c r="M294">
        <v>0.4844</v>
      </c>
      <c r="N294">
        <v>65536</v>
      </c>
      <c r="O294">
        <v>23760</v>
      </c>
      <c r="P294">
        <v>0.63749999999999996</v>
      </c>
      <c r="Q294">
        <v>68</v>
      </c>
      <c r="R294">
        <v>60</v>
      </c>
      <c r="S294" t="b">
        <v>1</v>
      </c>
      <c r="T294">
        <v>0.97142857100000002</v>
      </c>
      <c r="U294">
        <v>292</v>
      </c>
      <c r="V294">
        <f>Table1[[#This Row],[orig_m]]+Table1[[#This Row],[orig_n]]+Table1[[#This Row],[orig_k]]-2</f>
        <v>94</v>
      </c>
      <c r="W294">
        <f>Table1[[#This Row],[Dense Baseline]]-Table1[[#This Row],[cycles]]</f>
        <v>26</v>
      </c>
      <c r="X294">
        <f>(Table1[[#This Row],[eff_macs]]/Table1[[#This Row],[cycles]])*0.07</f>
        <v>24.45882352941177</v>
      </c>
      <c r="Y294">
        <f>(Table1[[#This Row],[orig_macs]]/Table1[[#This Row],[cycles]])*0.07</f>
        <v>67.463529411764711</v>
      </c>
      <c r="Z294">
        <f>(Table1[[#This Row],[Dense-Equivalent Throughput (GOPS)]] / IF(Table1[[#This Row],[config]]=0,144781,7618)) * 1000</f>
        <v>0.4659694946972649</v>
      </c>
      <c r="AA294">
        <f>(Table1[[#This Row],[Dense-Equivalent Throughput (GOPS)]] / 654.74 )/ IF(Table1[[#This Row],[config]]=0, 42381, 7618) * 10^9</f>
        <v>2431.246446934696</v>
      </c>
      <c r="AB294">
        <f>IF(Table1[[#This Row],[config]]=0, 2860, 2210) * (Table1[[#This Row],[cycles]] / 70) / 1000</f>
        <v>2.778285714285714</v>
      </c>
    </row>
    <row r="295" spans="1:28" x14ac:dyDescent="0.25">
      <c r="A295" t="s">
        <v>20</v>
      </c>
      <c r="B295" t="s">
        <v>24</v>
      </c>
      <c r="C295">
        <v>3</v>
      </c>
      <c r="D295">
        <v>126</v>
      </c>
      <c r="E295">
        <v>32</v>
      </c>
      <c r="F295">
        <v>32</v>
      </c>
      <c r="G295">
        <v>32</v>
      </c>
      <c r="H295">
        <v>30</v>
      </c>
      <c r="I295">
        <v>17</v>
      </c>
      <c r="J295">
        <v>22</v>
      </c>
      <c r="K295">
        <v>0</v>
      </c>
      <c r="L295">
        <v>32</v>
      </c>
      <c r="M295">
        <v>0.49509999999999998</v>
      </c>
      <c r="N295">
        <v>65536</v>
      </c>
      <c r="O295">
        <v>22440</v>
      </c>
      <c r="P295">
        <v>0.65759999999999996</v>
      </c>
      <c r="Q295">
        <v>67</v>
      </c>
      <c r="R295">
        <v>52.7</v>
      </c>
      <c r="S295" t="b">
        <v>1</v>
      </c>
      <c r="T295">
        <v>0.95714285700000001</v>
      </c>
      <c r="U295">
        <v>293</v>
      </c>
      <c r="V295">
        <f>Table1[[#This Row],[orig_m]]+Table1[[#This Row],[orig_n]]+Table1[[#This Row],[orig_k]]-2</f>
        <v>94</v>
      </c>
      <c r="W295">
        <f>Table1[[#This Row],[Dense Baseline]]-Table1[[#This Row],[cycles]]</f>
        <v>27</v>
      </c>
      <c r="X295">
        <f>(Table1[[#This Row],[eff_macs]]/Table1[[#This Row],[cycles]])*0.07</f>
        <v>23.444776119402988</v>
      </c>
      <c r="Y295">
        <f>(Table1[[#This Row],[orig_macs]]/Table1[[#This Row],[cycles]])*0.07</f>
        <v>68.470447761194038</v>
      </c>
      <c r="Z295">
        <f>(Table1[[#This Row],[Dense-Equivalent Throughput (GOPS)]] / IF(Table1[[#This Row],[config]]=0,144781,7618)) * 1000</f>
        <v>0.47292426327483605</v>
      </c>
      <c r="AA295">
        <f>(Table1[[#This Row],[Dense-Equivalent Throughput (GOPS)]] / 654.74 )/ IF(Table1[[#This Row],[config]]=0, 42381, 7618) * 10^9</f>
        <v>2467.5337073367064</v>
      </c>
      <c r="AB295">
        <f>IF(Table1[[#This Row],[config]]=0, 2860, 2210) * (Table1[[#This Row],[cycles]] / 70) / 1000</f>
        <v>2.7374285714285715</v>
      </c>
    </row>
    <row r="296" spans="1:28" x14ac:dyDescent="0.25">
      <c r="A296" t="s">
        <v>20</v>
      </c>
      <c r="B296" t="s">
        <v>24</v>
      </c>
      <c r="C296">
        <v>3</v>
      </c>
      <c r="D296">
        <v>127</v>
      </c>
      <c r="E296">
        <v>32</v>
      </c>
      <c r="F296">
        <v>32</v>
      </c>
      <c r="G296">
        <v>32</v>
      </c>
      <c r="H296">
        <v>29</v>
      </c>
      <c r="I296">
        <v>18</v>
      </c>
      <c r="J296">
        <v>26</v>
      </c>
      <c r="K296">
        <v>0</v>
      </c>
      <c r="L296">
        <v>32</v>
      </c>
      <c r="M296">
        <v>0.40329999999999999</v>
      </c>
      <c r="N296">
        <v>65536</v>
      </c>
      <c r="O296">
        <v>27144</v>
      </c>
      <c r="P296">
        <v>0.58579999999999999</v>
      </c>
      <c r="Q296">
        <v>71</v>
      </c>
      <c r="R296">
        <v>47.5</v>
      </c>
      <c r="S296" t="b">
        <v>1</v>
      </c>
      <c r="T296">
        <v>1.0142857139999999</v>
      </c>
      <c r="U296">
        <v>294</v>
      </c>
      <c r="V296">
        <f>Table1[[#This Row],[orig_m]]+Table1[[#This Row],[orig_n]]+Table1[[#This Row],[orig_k]]-2</f>
        <v>94</v>
      </c>
      <c r="W296">
        <f>Table1[[#This Row],[Dense Baseline]]-Table1[[#This Row],[cycles]]</f>
        <v>23</v>
      </c>
      <c r="X296">
        <f>(Table1[[#This Row],[eff_macs]]/Table1[[#This Row],[cycles]])*0.07</f>
        <v>26.761690140845076</v>
      </c>
      <c r="Y296">
        <f>(Table1[[#This Row],[orig_macs]]/Table1[[#This Row],[cycles]])*0.07</f>
        <v>64.612957746478884</v>
      </c>
      <c r="Z296">
        <f>(Table1[[#This Row],[Dense-Equivalent Throughput (GOPS)]] / IF(Table1[[#This Row],[config]]=0,144781,7618)) * 1000</f>
        <v>0.4462806428086481</v>
      </c>
      <c r="AA296">
        <f>(Table1[[#This Row],[Dense-Equivalent Throughput (GOPS)]] / 654.74 )/ IF(Table1[[#This Row],[config]]=0, 42381, 7618) * 10^9</f>
        <v>2328.5177238247798</v>
      </c>
      <c r="AB296">
        <f>IF(Table1[[#This Row],[config]]=0, 2860, 2210) * (Table1[[#This Row],[cycles]] / 70) / 1000</f>
        <v>2.9008571428571428</v>
      </c>
    </row>
    <row r="297" spans="1:28" x14ac:dyDescent="0.25">
      <c r="A297" t="s">
        <v>20</v>
      </c>
      <c r="B297" t="s">
        <v>24</v>
      </c>
      <c r="C297">
        <v>3</v>
      </c>
      <c r="D297">
        <v>128</v>
      </c>
      <c r="E297">
        <v>32</v>
      </c>
      <c r="F297">
        <v>32</v>
      </c>
      <c r="G297">
        <v>32</v>
      </c>
      <c r="H297">
        <v>29</v>
      </c>
      <c r="I297">
        <v>18</v>
      </c>
      <c r="J297">
        <v>26</v>
      </c>
      <c r="K297">
        <v>0</v>
      </c>
      <c r="L297">
        <v>32</v>
      </c>
      <c r="M297">
        <v>0.40329999999999999</v>
      </c>
      <c r="N297">
        <v>65536</v>
      </c>
      <c r="O297">
        <v>27144</v>
      </c>
      <c r="P297">
        <v>0.58579999999999999</v>
      </c>
      <c r="Q297">
        <v>71</v>
      </c>
      <c r="R297">
        <v>127</v>
      </c>
      <c r="S297" t="b">
        <v>1</v>
      </c>
      <c r="T297">
        <v>1.0142857139999999</v>
      </c>
      <c r="U297">
        <v>295</v>
      </c>
      <c r="V297">
        <f>Table1[[#This Row],[orig_m]]+Table1[[#This Row],[orig_n]]+Table1[[#This Row],[orig_k]]-2</f>
        <v>94</v>
      </c>
      <c r="W297">
        <f>Table1[[#This Row],[Dense Baseline]]-Table1[[#This Row],[cycles]]</f>
        <v>23</v>
      </c>
      <c r="X297">
        <f>(Table1[[#This Row],[eff_macs]]/Table1[[#This Row],[cycles]])*0.07</f>
        <v>26.761690140845076</v>
      </c>
      <c r="Y297">
        <f>(Table1[[#This Row],[orig_macs]]/Table1[[#This Row],[cycles]])*0.07</f>
        <v>64.612957746478884</v>
      </c>
      <c r="Z297">
        <f>(Table1[[#This Row],[Dense-Equivalent Throughput (GOPS)]] / IF(Table1[[#This Row],[config]]=0,144781,7618)) * 1000</f>
        <v>0.4462806428086481</v>
      </c>
      <c r="AA297">
        <f>(Table1[[#This Row],[Dense-Equivalent Throughput (GOPS)]] / 654.74 )/ IF(Table1[[#This Row],[config]]=0, 42381, 7618) * 10^9</f>
        <v>2328.5177238247798</v>
      </c>
      <c r="AB297">
        <f>IF(Table1[[#This Row],[config]]=0, 2860, 2210) * (Table1[[#This Row],[cycles]] / 70) / 1000</f>
        <v>2.9008571428571428</v>
      </c>
    </row>
    <row r="298" spans="1:28" x14ac:dyDescent="0.25">
      <c r="A298" t="s">
        <v>20</v>
      </c>
      <c r="B298" t="s">
        <v>24</v>
      </c>
      <c r="C298">
        <v>3</v>
      </c>
      <c r="D298">
        <v>129</v>
      </c>
      <c r="E298">
        <v>32</v>
      </c>
      <c r="F298">
        <v>32</v>
      </c>
      <c r="G298">
        <v>32</v>
      </c>
      <c r="H298">
        <v>29</v>
      </c>
      <c r="I298">
        <v>22</v>
      </c>
      <c r="J298">
        <v>26</v>
      </c>
      <c r="K298">
        <v>0</v>
      </c>
      <c r="L298">
        <v>32</v>
      </c>
      <c r="M298">
        <v>0.35249999999999998</v>
      </c>
      <c r="N298">
        <v>65536</v>
      </c>
      <c r="O298">
        <v>33176</v>
      </c>
      <c r="P298">
        <v>0.49380000000000002</v>
      </c>
      <c r="Q298">
        <v>75</v>
      </c>
      <c r="R298">
        <v>58.1</v>
      </c>
      <c r="S298" t="b">
        <v>1</v>
      </c>
      <c r="T298">
        <v>1.071428571</v>
      </c>
      <c r="U298">
        <v>296</v>
      </c>
      <c r="V298">
        <f>Table1[[#This Row],[orig_m]]+Table1[[#This Row],[orig_n]]+Table1[[#This Row],[orig_k]]-2</f>
        <v>94</v>
      </c>
      <c r="W298">
        <f>Table1[[#This Row],[Dense Baseline]]-Table1[[#This Row],[cycles]]</f>
        <v>19</v>
      </c>
      <c r="X298">
        <f>(Table1[[#This Row],[eff_macs]]/Table1[[#This Row],[cycles]])*0.07</f>
        <v>30.964266666666671</v>
      </c>
      <c r="Y298">
        <f>(Table1[[#This Row],[orig_macs]]/Table1[[#This Row],[cycles]])*0.07</f>
        <v>61.16693333333334</v>
      </c>
      <c r="Z298">
        <f>(Table1[[#This Row],[Dense-Equivalent Throughput (GOPS)]] / IF(Table1[[#This Row],[config]]=0,144781,7618)) * 1000</f>
        <v>0.42247900852552023</v>
      </c>
      <c r="AA298">
        <f>(Table1[[#This Row],[Dense-Equivalent Throughput (GOPS)]] / 654.74 )/ IF(Table1[[#This Row],[config]]=0, 42381, 7618) * 10^9</f>
        <v>2204.3301118874574</v>
      </c>
      <c r="AB298">
        <f>IF(Table1[[#This Row],[config]]=0, 2860, 2210) * (Table1[[#This Row],[cycles]] / 70) / 1000</f>
        <v>3.0642857142857141</v>
      </c>
    </row>
    <row r="299" spans="1:28" x14ac:dyDescent="0.25">
      <c r="A299" t="s">
        <v>20</v>
      </c>
      <c r="B299" t="s">
        <v>24</v>
      </c>
      <c r="C299">
        <v>3</v>
      </c>
      <c r="D299">
        <v>130</v>
      </c>
      <c r="E299">
        <v>32</v>
      </c>
      <c r="F299">
        <v>32</v>
      </c>
      <c r="G299">
        <v>32</v>
      </c>
      <c r="H299">
        <v>29</v>
      </c>
      <c r="I299">
        <v>13</v>
      </c>
      <c r="J299">
        <v>26</v>
      </c>
      <c r="K299">
        <v>0</v>
      </c>
      <c r="L299">
        <v>32</v>
      </c>
      <c r="M299">
        <v>0.46679999999999999</v>
      </c>
      <c r="N299">
        <v>65536</v>
      </c>
      <c r="O299">
        <v>19604</v>
      </c>
      <c r="P299">
        <v>0.70089999999999997</v>
      </c>
      <c r="Q299">
        <v>66</v>
      </c>
      <c r="R299">
        <v>89.2</v>
      </c>
      <c r="S299" t="b">
        <v>1</v>
      </c>
      <c r="T299">
        <v>0.94285714300000001</v>
      </c>
      <c r="U299">
        <v>297</v>
      </c>
      <c r="V299">
        <f>Table1[[#This Row],[orig_m]]+Table1[[#This Row],[orig_n]]+Table1[[#This Row],[orig_k]]-2</f>
        <v>94</v>
      </c>
      <c r="W299">
        <f>Table1[[#This Row],[Dense Baseline]]-Table1[[#This Row],[cycles]]</f>
        <v>28</v>
      </c>
      <c r="X299">
        <f>(Table1[[#This Row],[eff_macs]]/Table1[[#This Row],[cycles]])*0.07</f>
        <v>20.792121212121213</v>
      </c>
      <c r="Y299">
        <f>(Table1[[#This Row],[orig_macs]]/Table1[[#This Row],[cycles]])*0.07</f>
        <v>69.507878787878795</v>
      </c>
      <c r="Z299">
        <f>(Table1[[#This Row],[Dense-Equivalent Throughput (GOPS)]] / IF(Table1[[#This Row],[config]]=0,144781,7618)) * 1000</f>
        <v>0.48008978241536382</v>
      </c>
      <c r="AA299">
        <f>(Table1[[#This Row],[Dense-Equivalent Throughput (GOPS)]] / 654.74 )/ IF(Table1[[#This Row],[config]]=0, 42381, 7618) * 10^9</f>
        <v>2504.9205816902927</v>
      </c>
      <c r="AB299">
        <f>IF(Table1[[#This Row],[config]]=0, 2860, 2210) * (Table1[[#This Row],[cycles]] / 70) / 1000</f>
        <v>2.6965714285714286</v>
      </c>
    </row>
    <row r="300" spans="1:28" x14ac:dyDescent="0.25">
      <c r="A300" t="s">
        <v>20</v>
      </c>
      <c r="B300" t="s">
        <v>24</v>
      </c>
      <c r="C300">
        <v>3</v>
      </c>
      <c r="D300">
        <v>131</v>
      </c>
      <c r="E300">
        <v>32</v>
      </c>
      <c r="F300">
        <v>32</v>
      </c>
      <c r="G300">
        <v>32</v>
      </c>
      <c r="H300">
        <v>29</v>
      </c>
      <c r="I300">
        <v>18</v>
      </c>
      <c r="J300">
        <v>26</v>
      </c>
      <c r="K300">
        <v>0</v>
      </c>
      <c r="L300">
        <v>32</v>
      </c>
      <c r="M300">
        <v>0.40329999999999999</v>
      </c>
      <c r="N300">
        <v>65536</v>
      </c>
      <c r="O300">
        <v>27144</v>
      </c>
      <c r="P300">
        <v>0.58579999999999999</v>
      </c>
      <c r="Q300">
        <v>71</v>
      </c>
      <c r="R300">
        <v>40</v>
      </c>
      <c r="S300" t="b">
        <v>1</v>
      </c>
      <c r="T300">
        <v>1.0142857139999999</v>
      </c>
      <c r="U300">
        <v>298</v>
      </c>
      <c r="V300">
        <f>Table1[[#This Row],[orig_m]]+Table1[[#This Row],[orig_n]]+Table1[[#This Row],[orig_k]]-2</f>
        <v>94</v>
      </c>
      <c r="W300">
        <f>Table1[[#This Row],[Dense Baseline]]-Table1[[#This Row],[cycles]]</f>
        <v>23</v>
      </c>
      <c r="X300">
        <f>(Table1[[#This Row],[eff_macs]]/Table1[[#This Row],[cycles]])*0.07</f>
        <v>26.761690140845076</v>
      </c>
      <c r="Y300">
        <f>(Table1[[#This Row],[orig_macs]]/Table1[[#This Row],[cycles]])*0.07</f>
        <v>64.612957746478884</v>
      </c>
      <c r="Z300">
        <f>(Table1[[#This Row],[Dense-Equivalent Throughput (GOPS)]] / IF(Table1[[#This Row],[config]]=0,144781,7618)) * 1000</f>
        <v>0.4462806428086481</v>
      </c>
      <c r="AA300">
        <f>(Table1[[#This Row],[Dense-Equivalent Throughput (GOPS)]] / 654.74 )/ IF(Table1[[#This Row],[config]]=0, 42381, 7618) * 10^9</f>
        <v>2328.5177238247798</v>
      </c>
      <c r="AB300">
        <f>IF(Table1[[#This Row],[config]]=0, 2860, 2210) * (Table1[[#This Row],[cycles]] / 70) / 1000</f>
        <v>2.9008571428571428</v>
      </c>
    </row>
    <row r="301" spans="1:28" x14ac:dyDescent="0.25">
      <c r="A301" t="s">
        <v>20</v>
      </c>
      <c r="B301" t="s">
        <v>24</v>
      </c>
      <c r="C301">
        <v>3</v>
      </c>
      <c r="D301">
        <v>132</v>
      </c>
      <c r="E301">
        <v>32</v>
      </c>
      <c r="F301">
        <v>32</v>
      </c>
      <c r="G301">
        <v>32</v>
      </c>
      <c r="H301">
        <v>29</v>
      </c>
      <c r="I301">
        <v>17</v>
      </c>
      <c r="J301">
        <v>26</v>
      </c>
      <c r="K301">
        <v>0</v>
      </c>
      <c r="L301">
        <v>32</v>
      </c>
      <c r="M301">
        <v>0.41599999999999998</v>
      </c>
      <c r="N301">
        <v>65536</v>
      </c>
      <c r="O301">
        <v>25636</v>
      </c>
      <c r="P301">
        <v>0.60880000000000001</v>
      </c>
      <c r="Q301">
        <v>70</v>
      </c>
      <c r="R301">
        <v>47.8</v>
      </c>
      <c r="S301" t="b">
        <v>1</v>
      </c>
      <c r="T301">
        <v>1</v>
      </c>
      <c r="U301">
        <v>299</v>
      </c>
      <c r="V301">
        <f>Table1[[#This Row],[orig_m]]+Table1[[#This Row],[orig_n]]+Table1[[#This Row],[orig_k]]-2</f>
        <v>94</v>
      </c>
      <c r="W301">
        <f>Table1[[#This Row],[Dense Baseline]]-Table1[[#This Row],[cycles]]</f>
        <v>24</v>
      </c>
      <c r="X301">
        <f>(Table1[[#This Row],[eff_macs]]/Table1[[#This Row],[cycles]])*0.07</f>
        <v>25.636000000000003</v>
      </c>
      <c r="Y301">
        <f>(Table1[[#This Row],[orig_macs]]/Table1[[#This Row],[cycles]])*0.07</f>
        <v>65.536000000000001</v>
      </c>
      <c r="Z301">
        <f>(Table1[[#This Row],[Dense-Equivalent Throughput (GOPS)]] / IF(Table1[[#This Row],[config]]=0,144781,7618)) * 1000</f>
        <v>0.45265608056305734</v>
      </c>
      <c r="AA301">
        <f>(Table1[[#This Row],[Dense-Equivalent Throughput (GOPS)]] / 654.74 )/ IF(Table1[[#This Row],[config]]=0, 42381, 7618) * 10^9</f>
        <v>2361.7822627365617</v>
      </c>
      <c r="AB301">
        <f>IF(Table1[[#This Row],[config]]=0, 2860, 2210) * (Table1[[#This Row],[cycles]] / 70) / 1000</f>
        <v>2.86</v>
      </c>
    </row>
    <row r="302" spans="1:28" x14ac:dyDescent="0.25">
      <c r="A302" t="s">
        <v>20</v>
      </c>
      <c r="B302" t="s">
        <v>24</v>
      </c>
      <c r="C302">
        <v>3</v>
      </c>
      <c r="D302">
        <v>133</v>
      </c>
      <c r="E302">
        <v>25</v>
      </c>
      <c r="F302">
        <v>32</v>
      </c>
      <c r="G302">
        <v>32</v>
      </c>
      <c r="H302">
        <v>22</v>
      </c>
      <c r="I302">
        <v>18</v>
      </c>
      <c r="J302">
        <v>22</v>
      </c>
      <c r="K302">
        <v>0</v>
      </c>
      <c r="L302">
        <v>32</v>
      </c>
      <c r="M302">
        <v>0.51749999999999996</v>
      </c>
      <c r="N302">
        <v>51200</v>
      </c>
      <c r="O302">
        <v>17424</v>
      </c>
      <c r="P302">
        <v>0.65969999999999995</v>
      </c>
      <c r="Q302">
        <v>60</v>
      </c>
      <c r="R302">
        <v>39.1</v>
      </c>
      <c r="S302" t="b">
        <v>1</v>
      </c>
      <c r="T302">
        <v>0.85714285700000004</v>
      </c>
      <c r="U302">
        <v>300</v>
      </c>
      <c r="V302">
        <f>Table1[[#This Row],[orig_m]]+Table1[[#This Row],[orig_n]]+Table1[[#This Row],[orig_k]]-2</f>
        <v>87</v>
      </c>
      <c r="W302">
        <f>Table1[[#This Row],[Dense Baseline]]-Table1[[#This Row],[cycles]]</f>
        <v>27</v>
      </c>
      <c r="X302">
        <f>(Table1[[#This Row],[eff_macs]]/Table1[[#This Row],[cycles]])*0.07</f>
        <v>20.327999999999999</v>
      </c>
      <c r="Y302">
        <f>(Table1[[#This Row],[orig_macs]]/Table1[[#This Row],[cycles]])*0.07</f>
        <v>59.733333333333341</v>
      </c>
      <c r="Z302">
        <f>(Table1[[#This Row],[Dense-Equivalent Throughput (GOPS)]] / IF(Table1[[#This Row],[config]]=0,144781,7618)) * 1000</f>
        <v>0.41257715676320333</v>
      </c>
      <c r="AA302">
        <f>(Table1[[#This Row],[Dense-Equivalent Throughput (GOPS)]] / 654.74 )/ IF(Table1[[#This Row],[config]]=0, 42381, 7618) * 10^9</f>
        <v>2152.6661248900955</v>
      </c>
      <c r="AB302">
        <f>IF(Table1[[#This Row],[config]]=0, 2860, 2210) * (Table1[[#This Row],[cycles]] / 70) / 1000</f>
        <v>2.4514285714285711</v>
      </c>
    </row>
    <row r="303" spans="1:28" x14ac:dyDescent="0.25">
      <c r="A303" t="s">
        <v>20</v>
      </c>
      <c r="B303" t="s">
        <v>24</v>
      </c>
      <c r="C303">
        <v>3</v>
      </c>
      <c r="D303">
        <v>134</v>
      </c>
      <c r="E303">
        <v>25</v>
      </c>
      <c r="F303">
        <v>32</v>
      </c>
      <c r="G303">
        <v>32</v>
      </c>
      <c r="H303">
        <v>22</v>
      </c>
      <c r="I303">
        <v>18</v>
      </c>
      <c r="J303">
        <v>22</v>
      </c>
      <c r="K303">
        <v>0</v>
      </c>
      <c r="L303">
        <v>32</v>
      </c>
      <c r="M303">
        <v>0.51749999999999996</v>
      </c>
      <c r="N303">
        <v>51200</v>
      </c>
      <c r="O303">
        <v>17424</v>
      </c>
      <c r="P303">
        <v>0.65969999999999995</v>
      </c>
      <c r="Q303">
        <v>60</v>
      </c>
      <c r="R303">
        <v>61</v>
      </c>
      <c r="S303" t="b">
        <v>1</v>
      </c>
      <c r="T303">
        <v>0.85714285700000004</v>
      </c>
      <c r="U303">
        <v>301</v>
      </c>
      <c r="V303">
        <f>Table1[[#This Row],[orig_m]]+Table1[[#This Row],[orig_n]]+Table1[[#This Row],[orig_k]]-2</f>
        <v>87</v>
      </c>
      <c r="W303">
        <f>Table1[[#This Row],[Dense Baseline]]-Table1[[#This Row],[cycles]]</f>
        <v>27</v>
      </c>
      <c r="X303">
        <f>(Table1[[#This Row],[eff_macs]]/Table1[[#This Row],[cycles]])*0.07</f>
        <v>20.327999999999999</v>
      </c>
      <c r="Y303">
        <f>(Table1[[#This Row],[orig_macs]]/Table1[[#This Row],[cycles]])*0.07</f>
        <v>59.733333333333341</v>
      </c>
      <c r="Z303">
        <f>(Table1[[#This Row],[Dense-Equivalent Throughput (GOPS)]] / IF(Table1[[#This Row],[config]]=0,144781,7618)) * 1000</f>
        <v>0.41257715676320333</v>
      </c>
      <c r="AA303">
        <f>(Table1[[#This Row],[Dense-Equivalent Throughput (GOPS)]] / 654.74 )/ IF(Table1[[#This Row],[config]]=0, 42381, 7618) * 10^9</f>
        <v>2152.6661248900955</v>
      </c>
      <c r="AB303">
        <f>IF(Table1[[#This Row],[config]]=0, 2860, 2210) * (Table1[[#This Row],[cycles]] / 70) / 1000</f>
        <v>2.4514285714285711</v>
      </c>
    </row>
    <row r="304" spans="1:28" x14ac:dyDescent="0.25">
      <c r="A304" t="s">
        <v>20</v>
      </c>
      <c r="B304" t="s">
        <v>24</v>
      </c>
      <c r="C304">
        <v>3</v>
      </c>
      <c r="D304">
        <v>135</v>
      </c>
      <c r="E304">
        <v>25</v>
      </c>
      <c r="F304">
        <v>32</v>
      </c>
      <c r="G304">
        <v>32</v>
      </c>
      <c r="H304">
        <v>22</v>
      </c>
      <c r="I304">
        <v>22</v>
      </c>
      <c r="J304">
        <v>22</v>
      </c>
      <c r="K304">
        <v>0</v>
      </c>
      <c r="L304">
        <v>32</v>
      </c>
      <c r="M304">
        <v>0.46929999999999999</v>
      </c>
      <c r="N304">
        <v>51200</v>
      </c>
      <c r="O304">
        <v>21296</v>
      </c>
      <c r="P304">
        <v>0.58409999999999995</v>
      </c>
      <c r="Q304">
        <v>64</v>
      </c>
      <c r="R304">
        <v>38.9</v>
      </c>
      <c r="S304" t="b">
        <v>1</v>
      </c>
      <c r="T304">
        <v>0.91428571400000003</v>
      </c>
      <c r="U304">
        <v>302</v>
      </c>
      <c r="V304">
        <f>Table1[[#This Row],[orig_m]]+Table1[[#This Row],[orig_n]]+Table1[[#This Row],[orig_k]]-2</f>
        <v>87</v>
      </c>
      <c r="W304">
        <f>Table1[[#This Row],[Dense Baseline]]-Table1[[#This Row],[cycles]]</f>
        <v>23</v>
      </c>
      <c r="X304">
        <f>(Table1[[#This Row],[eff_macs]]/Table1[[#This Row],[cycles]])*0.07</f>
        <v>23.292500000000004</v>
      </c>
      <c r="Y304">
        <f>(Table1[[#This Row],[orig_macs]]/Table1[[#This Row],[cycles]])*0.07</f>
        <v>56.000000000000007</v>
      </c>
      <c r="Z304">
        <f>(Table1[[#This Row],[Dense-Equivalent Throughput (GOPS)]] / IF(Table1[[#This Row],[config]]=0,144781,7618)) * 1000</f>
        <v>0.38679108446550309</v>
      </c>
      <c r="AA304">
        <f>(Table1[[#This Row],[Dense-Equivalent Throughput (GOPS)]] / 654.74 )/ IF(Table1[[#This Row],[config]]=0, 42381, 7618) * 10^9</f>
        <v>2018.1244920844645</v>
      </c>
      <c r="AB304">
        <f>IF(Table1[[#This Row],[config]]=0, 2860, 2210) * (Table1[[#This Row],[cycles]] / 70) / 1000</f>
        <v>2.6148571428571428</v>
      </c>
    </row>
    <row r="305" spans="1:28" x14ac:dyDescent="0.25">
      <c r="A305" t="s">
        <v>20</v>
      </c>
      <c r="B305" t="s">
        <v>24</v>
      </c>
      <c r="C305">
        <v>3</v>
      </c>
      <c r="D305">
        <v>136</v>
      </c>
      <c r="E305">
        <v>25</v>
      </c>
      <c r="F305">
        <v>32</v>
      </c>
      <c r="G305">
        <v>32</v>
      </c>
      <c r="H305">
        <v>22</v>
      </c>
      <c r="I305">
        <v>13</v>
      </c>
      <c r="J305">
        <v>22</v>
      </c>
      <c r="K305">
        <v>0</v>
      </c>
      <c r="L305">
        <v>32</v>
      </c>
      <c r="M305">
        <v>0.57789999999999997</v>
      </c>
      <c r="N305">
        <v>51200</v>
      </c>
      <c r="O305">
        <v>12584</v>
      </c>
      <c r="P305">
        <v>0.75419999999999998</v>
      </c>
      <c r="Q305">
        <v>55</v>
      </c>
      <c r="R305">
        <v>66.8</v>
      </c>
      <c r="S305" t="b">
        <v>1</v>
      </c>
      <c r="T305">
        <v>0.78571428600000004</v>
      </c>
      <c r="U305">
        <v>303</v>
      </c>
      <c r="V305">
        <f>Table1[[#This Row],[orig_m]]+Table1[[#This Row],[orig_n]]+Table1[[#This Row],[orig_k]]-2</f>
        <v>87</v>
      </c>
      <c r="W305">
        <f>Table1[[#This Row],[Dense Baseline]]-Table1[[#This Row],[cycles]]</f>
        <v>32</v>
      </c>
      <c r="X305">
        <f>(Table1[[#This Row],[eff_macs]]/Table1[[#This Row],[cycles]])*0.07</f>
        <v>16.016000000000002</v>
      </c>
      <c r="Y305">
        <f>(Table1[[#This Row],[orig_macs]]/Table1[[#This Row],[cycles]])*0.07</f>
        <v>65.163636363636371</v>
      </c>
      <c r="Z305">
        <f>(Table1[[#This Row],[Dense-Equivalent Throughput (GOPS)]] / IF(Table1[[#This Row],[config]]=0,144781,7618)) * 1000</f>
        <v>0.45008417101440362</v>
      </c>
      <c r="AA305">
        <f>(Table1[[#This Row],[Dense-Equivalent Throughput (GOPS)]] / 654.74 )/ IF(Table1[[#This Row],[config]]=0, 42381, 7618) * 10^9</f>
        <v>2348.3630453346495</v>
      </c>
      <c r="AB305">
        <f>IF(Table1[[#This Row],[config]]=0, 2860, 2210) * (Table1[[#This Row],[cycles]] / 70) / 1000</f>
        <v>2.2471428571428569</v>
      </c>
    </row>
    <row r="306" spans="1:28" x14ac:dyDescent="0.25">
      <c r="A306" t="s">
        <v>20</v>
      </c>
      <c r="B306" t="s">
        <v>24</v>
      </c>
      <c r="C306">
        <v>3</v>
      </c>
      <c r="D306">
        <v>137</v>
      </c>
      <c r="E306">
        <v>25</v>
      </c>
      <c r="F306">
        <v>32</v>
      </c>
      <c r="G306">
        <v>32</v>
      </c>
      <c r="H306">
        <v>22</v>
      </c>
      <c r="I306">
        <v>18</v>
      </c>
      <c r="J306">
        <v>22</v>
      </c>
      <c r="K306">
        <v>0</v>
      </c>
      <c r="L306">
        <v>32</v>
      </c>
      <c r="M306">
        <v>0.51749999999999996</v>
      </c>
      <c r="N306">
        <v>51200</v>
      </c>
      <c r="O306">
        <v>17424</v>
      </c>
      <c r="P306">
        <v>0.65969999999999995</v>
      </c>
      <c r="Q306">
        <v>60</v>
      </c>
      <c r="R306">
        <v>39.700000000000003</v>
      </c>
      <c r="S306" t="b">
        <v>1</v>
      </c>
      <c r="T306">
        <v>0.85714285700000004</v>
      </c>
      <c r="U306">
        <v>304</v>
      </c>
      <c r="V306">
        <f>Table1[[#This Row],[orig_m]]+Table1[[#This Row],[orig_n]]+Table1[[#This Row],[orig_k]]-2</f>
        <v>87</v>
      </c>
      <c r="W306">
        <f>Table1[[#This Row],[Dense Baseline]]-Table1[[#This Row],[cycles]]</f>
        <v>27</v>
      </c>
      <c r="X306">
        <f>(Table1[[#This Row],[eff_macs]]/Table1[[#This Row],[cycles]])*0.07</f>
        <v>20.327999999999999</v>
      </c>
      <c r="Y306">
        <f>(Table1[[#This Row],[orig_macs]]/Table1[[#This Row],[cycles]])*0.07</f>
        <v>59.733333333333341</v>
      </c>
      <c r="Z306">
        <f>(Table1[[#This Row],[Dense-Equivalent Throughput (GOPS)]] / IF(Table1[[#This Row],[config]]=0,144781,7618)) * 1000</f>
        <v>0.41257715676320333</v>
      </c>
      <c r="AA306">
        <f>(Table1[[#This Row],[Dense-Equivalent Throughput (GOPS)]] / 654.74 )/ IF(Table1[[#This Row],[config]]=0, 42381, 7618) * 10^9</f>
        <v>2152.6661248900955</v>
      </c>
      <c r="AB306">
        <f>IF(Table1[[#This Row],[config]]=0, 2860, 2210) * (Table1[[#This Row],[cycles]] / 70) / 1000</f>
        <v>2.4514285714285711</v>
      </c>
    </row>
    <row r="307" spans="1:28" x14ac:dyDescent="0.25">
      <c r="A307" t="s">
        <v>20</v>
      </c>
      <c r="B307" t="s">
        <v>24</v>
      </c>
      <c r="C307">
        <v>3</v>
      </c>
      <c r="D307">
        <v>138</v>
      </c>
      <c r="E307">
        <v>25</v>
      </c>
      <c r="F307">
        <v>32</v>
      </c>
      <c r="G307">
        <v>32</v>
      </c>
      <c r="H307">
        <v>22</v>
      </c>
      <c r="I307">
        <v>17</v>
      </c>
      <c r="J307">
        <v>22</v>
      </c>
      <c r="K307">
        <v>0</v>
      </c>
      <c r="L307">
        <v>32</v>
      </c>
      <c r="M307">
        <v>0.52959999999999996</v>
      </c>
      <c r="N307">
        <v>51200</v>
      </c>
      <c r="O307">
        <v>16456</v>
      </c>
      <c r="P307">
        <v>0.67859999999999998</v>
      </c>
      <c r="Q307">
        <v>59</v>
      </c>
      <c r="R307">
        <v>45</v>
      </c>
      <c r="S307" t="b">
        <v>1</v>
      </c>
      <c r="T307">
        <v>0.84285714300000003</v>
      </c>
      <c r="U307">
        <v>305</v>
      </c>
      <c r="V307">
        <f>Table1[[#This Row],[orig_m]]+Table1[[#This Row],[orig_n]]+Table1[[#This Row],[orig_k]]-2</f>
        <v>87</v>
      </c>
      <c r="W307">
        <f>Table1[[#This Row],[Dense Baseline]]-Table1[[#This Row],[cycles]]</f>
        <v>28</v>
      </c>
      <c r="X307">
        <f>(Table1[[#This Row],[eff_macs]]/Table1[[#This Row],[cycles]])*0.07</f>
        <v>19.524067796610172</v>
      </c>
      <c r="Y307">
        <f>(Table1[[#This Row],[orig_macs]]/Table1[[#This Row],[cycles]])*0.07</f>
        <v>60.745762711864408</v>
      </c>
      <c r="Z307">
        <f>(Table1[[#This Row],[Dense-Equivalent Throughput (GOPS)]] / IF(Table1[[#This Row],[config]]=0,144781,7618)) * 1000</f>
        <v>0.41956998992868128</v>
      </c>
      <c r="AA307">
        <f>(Table1[[#This Row],[Dense-Equivalent Throughput (GOPS)]] / 654.74 )/ IF(Table1[[#This Row],[config]]=0, 42381, 7618) * 10^9</f>
        <v>2189.1519914136561</v>
      </c>
      <c r="AB307">
        <f>IF(Table1[[#This Row],[config]]=0, 2860, 2210) * (Table1[[#This Row],[cycles]] / 70) / 1000</f>
        <v>2.4105714285714286</v>
      </c>
    </row>
    <row r="308" spans="1:28" x14ac:dyDescent="0.25">
      <c r="A308" t="s">
        <v>20</v>
      </c>
      <c r="B308" t="s">
        <v>25</v>
      </c>
      <c r="C308">
        <v>4</v>
      </c>
      <c r="D308">
        <v>1</v>
      </c>
      <c r="E308">
        <v>32</v>
      </c>
      <c r="F308">
        <v>32</v>
      </c>
      <c r="G308">
        <v>32</v>
      </c>
      <c r="H308">
        <v>32</v>
      </c>
      <c r="I308">
        <v>19</v>
      </c>
      <c r="J308">
        <v>32</v>
      </c>
      <c r="K308">
        <v>0</v>
      </c>
      <c r="L308">
        <v>32</v>
      </c>
      <c r="M308">
        <v>0.2031</v>
      </c>
      <c r="N308">
        <v>65536</v>
      </c>
      <c r="O308">
        <v>38912</v>
      </c>
      <c r="P308">
        <v>0.40620000000000001</v>
      </c>
      <c r="Q308">
        <v>81</v>
      </c>
      <c r="R308">
        <v>159.69999999999999</v>
      </c>
      <c r="S308" t="b">
        <v>1</v>
      </c>
      <c r="T308">
        <v>1.157142857</v>
      </c>
      <c r="U308">
        <v>306</v>
      </c>
      <c r="V308">
        <f>Table1[[#This Row],[orig_m]]+Table1[[#This Row],[orig_n]]+Table1[[#This Row],[orig_k]]-2</f>
        <v>94</v>
      </c>
      <c r="W308">
        <f>Table1[[#This Row],[Dense Baseline]]-Table1[[#This Row],[cycles]]</f>
        <v>13</v>
      </c>
      <c r="X308">
        <f>(Table1[[#This Row],[eff_macs]]/Table1[[#This Row],[cycles]])*0.07</f>
        <v>33.627654320987652</v>
      </c>
      <c r="Y308">
        <f>(Table1[[#This Row],[orig_macs]]/Table1[[#This Row],[cycles]])*0.07</f>
        <v>56.636049382716052</v>
      </c>
      <c r="Z308">
        <f>(Table1[[#This Row],[Dense-Equivalent Throughput (GOPS)]] / IF(Table1[[#This Row],[config]]=0,144781,7618)) * 1000</f>
        <v>0.39118426715325944</v>
      </c>
      <c r="AA308">
        <f>(Table1[[#This Row],[Dense-Equivalent Throughput (GOPS)]] / 654.74 )/ IF(Table1[[#This Row],[config]]=0, 42381, 7618) * 10^9</f>
        <v>2041.0463998957939</v>
      </c>
      <c r="AB308">
        <f>IF(Table1[[#This Row],[config]]=0, 2860, 2210) * (Table1[[#This Row],[cycles]] / 70) / 1000</f>
        <v>3.3094285714285716</v>
      </c>
    </row>
    <row r="309" spans="1:28" x14ac:dyDescent="0.25">
      <c r="A309" t="s">
        <v>20</v>
      </c>
      <c r="B309" t="s">
        <v>25</v>
      </c>
      <c r="C309">
        <v>4</v>
      </c>
      <c r="D309">
        <v>2</v>
      </c>
      <c r="E309">
        <v>32</v>
      </c>
      <c r="F309">
        <v>32</v>
      </c>
      <c r="G309">
        <v>32</v>
      </c>
      <c r="H309">
        <v>32</v>
      </c>
      <c r="I309">
        <v>16</v>
      </c>
      <c r="J309">
        <v>32</v>
      </c>
      <c r="K309">
        <v>0</v>
      </c>
      <c r="L309">
        <v>32</v>
      </c>
      <c r="M309">
        <v>0.25</v>
      </c>
      <c r="N309">
        <v>65536</v>
      </c>
      <c r="O309">
        <v>32768</v>
      </c>
      <c r="P309">
        <v>0.5</v>
      </c>
      <c r="Q309">
        <v>78</v>
      </c>
      <c r="R309">
        <v>50.2</v>
      </c>
      <c r="S309" t="b">
        <v>1</v>
      </c>
      <c r="T309">
        <v>1.114285714</v>
      </c>
      <c r="U309">
        <v>307</v>
      </c>
      <c r="V309">
        <f>Table1[[#This Row],[orig_m]]+Table1[[#This Row],[orig_n]]+Table1[[#This Row],[orig_k]]-2</f>
        <v>94</v>
      </c>
      <c r="W309">
        <f>Table1[[#This Row],[Dense Baseline]]-Table1[[#This Row],[cycles]]</f>
        <v>16</v>
      </c>
      <c r="X309">
        <f>(Table1[[#This Row],[eff_macs]]/Table1[[#This Row],[cycles]])*0.07</f>
        <v>29.407179487179491</v>
      </c>
      <c r="Y309">
        <f>(Table1[[#This Row],[orig_macs]]/Table1[[#This Row],[cycles]])*0.07</f>
        <v>58.814358974358981</v>
      </c>
      <c r="Z309">
        <f>(Table1[[#This Row],[Dense-Equivalent Throughput (GOPS)]] / IF(Table1[[#This Row],[config]]=0,144781,7618)) * 1000</f>
        <v>0.40622981588992324</v>
      </c>
      <c r="AA309">
        <f>(Table1[[#This Row],[Dense-Equivalent Throughput (GOPS)]] / 654.74 )/ IF(Table1[[#This Row],[config]]=0, 42381, 7618) * 10^9</f>
        <v>2119.5481845071708</v>
      </c>
      <c r="AB309">
        <f>IF(Table1[[#This Row],[config]]=0, 2860, 2210) * (Table1[[#This Row],[cycles]] / 70) / 1000</f>
        <v>3.1868571428571433</v>
      </c>
    </row>
    <row r="310" spans="1:28" x14ac:dyDescent="0.25">
      <c r="A310" t="s">
        <v>20</v>
      </c>
      <c r="B310" t="s">
        <v>25</v>
      </c>
      <c r="C310">
        <v>4</v>
      </c>
      <c r="D310">
        <v>3</v>
      </c>
      <c r="E310">
        <v>32</v>
      </c>
      <c r="F310">
        <v>32</v>
      </c>
      <c r="G310">
        <v>32</v>
      </c>
      <c r="H310">
        <v>32</v>
      </c>
      <c r="I310">
        <v>19</v>
      </c>
      <c r="J310">
        <v>32</v>
      </c>
      <c r="K310">
        <v>0</v>
      </c>
      <c r="L310">
        <v>32</v>
      </c>
      <c r="M310">
        <v>0.2031</v>
      </c>
      <c r="N310">
        <v>65536</v>
      </c>
      <c r="O310">
        <v>38912</v>
      </c>
      <c r="P310">
        <v>0.40620000000000001</v>
      </c>
      <c r="Q310">
        <v>81</v>
      </c>
      <c r="R310">
        <v>58.7</v>
      </c>
      <c r="S310" t="b">
        <v>1</v>
      </c>
      <c r="T310">
        <v>1.157142857</v>
      </c>
      <c r="U310">
        <v>308</v>
      </c>
      <c r="V310">
        <f>Table1[[#This Row],[orig_m]]+Table1[[#This Row],[orig_n]]+Table1[[#This Row],[orig_k]]-2</f>
        <v>94</v>
      </c>
      <c r="W310">
        <f>Table1[[#This Row],[Dense Baseline]]-Table1[[#This Row],[cycles]]</f>
        <v>13</v>
      </c>
      <c r="X310">
        <f>(Table1[[#This Row],[eff_macs]]/Table1[[#This Row],[cycles]])*0.07</f>
        <v>33.627654320987652</v>
      </c>
      <c r="Y310">
        <f>(Table1[[#This Row],[orig_macs]]/Table1[[#This Row],[cycles]])*0.07</f>
        <v>56.636049382716052</v>
      </c>
      <c r="Z310">
        <f>(Table1[[#This Row],[Dense-Equivalent Throughput (GOPS)]] / IF(Table1[[#This Row],[config]]=0,144781,7618)) * 1000</f>
        <v>0.39118426715325944</v>
      </c>
      <c r="AA310">
        <f>(Table1[[#This Row],[Dense-Equivalent Throughput (GOPS)]] / 654.74 )/ IF(Table1[[#This Row],[config]]=0, 42381, 7618) * 10^9</f>
        <v>2041.0463998957939</v>
      </c>
      <c r="AB310">
        <f>IF(Table1[[#This Row],[config]]=0, 2860, 2210) * (Table1[[#This Row],[cycles]] / 70) / 1000</f>
        <v>3.3094285714285716</v>
      </c>
    </row>
    <row r="311" spans="1:28" x14ac:dyDescent="0.25">
      <c r="A311" t="s">
        <v>20</v>
      </c>
      <c r="B311" t="s">
        <v>25</v>
      </c>
      <c r="C311">
        <v>4</v>
      </c>
      <c r="D311">
        <v>4</v>
      </c>
      <c r="E311">
        <v>32</v>
      </c>
      <c r="F311">
        <v>32</v>
      </c>
      <c r="G311">
        <v>32</v>
      </c>
      <c r="H311">
        <v>32</v>
      </c>
      <c r="I311">
        <v>16</v>
      </c>
      <c r="J311">
        <v>32</v>
      </c>
      <c r="K311">
        <v>0</v>
      </c>
      <c r="L311">
        <v>32</v>
      </c>
      <c r="M311">
        <v>0.25</v>
      </c>
      <c r="N311">
        <v>65536</v>
      </c>
      <c r="O311">
        <v>32768</v>
      </c>
      <c r="P311">
        <v>0.5</v>
      </c>
      <c r="Q311">
        <v>78</v>
      </c>
      <c r="R311">
        <v>174</v>
      </c>
      <c r="S311" t="b">
        <v>1</v>
      </c>
      <c r="T311">
        <v>1.114285714</v>
      </c>
      <c r="U311">
        <v>309</v>
      </c>
      <c r="V311">
        <f>Table1[[#This Row],[orig_m]]+Table1[[#This Row],[orig_n]]+Table1[[#This Row],[orig_k]]-2</f>
        <v>94</v>
      </c>
      <c r="W311">
        <f>Table1[[#This Row],[Dense Baseline]]-Table1[[#This Row],[cycles]]</f>
        <v>16</v>
      </c>
      <c r="X311">
        <f>(Table1[[#This Row],[eff_macs]]/Table1[[#This Row],[cycles]])*0.07</f>
        <v>29.407179487179491</v>
      </c>
      <c r="Y311">
        <f>(Table1[[#This Row],[orig_macs]]/Table1[[#This Row],[cycles]])*0.07</f>
        <v>58.814358974358981</v>
      </c>
      <c r="Z311">
        <f>(Table1[[#This Row],[Dense-Equivalent Throughput (GOPS)]] / IF(Table1[[#This Row],[config]]=0,144781,7618)) * 1000</f>
        <v>0.40622981588992324</v>
      </c>
      <c r="AA311">
        <f>(Table1[[#This Row],[Dense-Equivalent Throughput (GOPS)]] / 654.74 )/ IF(Table1[[#This Row],[config]]=0, 42381, 7618) * 10^9</f>
        <v>2119.5481845071708</v>
      </c>
      <c r="AB311">
        <f>IF(Table1[[#This Row],[config]]=0, 2860, 2210) * (Table1[[#This Row],[cycles]] / 70) / 1000</f>
        <v>3.1868571428571433</v>
      </c>
    </row>
    <row r="312" spans="1:28" x14ac:dyDescent="0.25">
      <c r="A312" t="s">
        <v>20</v>
      </c>
      <c r="B312" t="s">
        <v>25</v>
      </c>
      <c r="C312">
        <v>4</v>
      </c>
      <c r="D312">
        <v>5</v>
      </c>
      <c r="E312">
        <v>32</v>
      </c>
      <c r="F312">
        <v>32</v>
      </c>
      <c r="G312">
        <v>32</v>
      </c>
      <c r="H312">
        <v>32</v>
      </c>
      <c r="I312">
        <v>19</v>
      </c>
      <c r="J312">
        <v>32</v>
      </c>
      <c r="K312">
        <v>0</v>
      </c>
      <c r="L312">
        <v>32</v>
      </c>
      <c r="M312">
        <v>0.2031</v>
      </c>
      <c r="N312">
        <v>65536</v>
      </c>
      <c r="O312">
        <v>38912</v>
      </c>
      <c r="P312">
        <v>0.40620000000000001</v>
      </c>
      <c r="Q312">
        <v>81</v>
      </c>
      <c r="R312">
        <v>176</v>
      </c>
      <c r="S312" t="b">
        <v>1</v>
      </c>
      <c r="T312">
        <v>1.157142857</v>
      </c>
      <c r="U312">
        <v>310</v>
      </c>
      <c r="V312">
        <f>Table1[[#This Row],[orig_m]]+Table1[[#This Row],[orig_n]]+Table1[[#This Row],[orig_k]]-2</f>
        <v>94</v>
      </c>
      <c r="W312">
        <f>Table1[[#This Row],[Dense Baseline]]-Table1[[#This Row],[cycles]]</f>
        <v>13</v>
      </c>
      <c r="X312">
        <f>(Table1[[#This Row],[eff_macs]]/Table1[[#This Row],[cycles]])*0.07</f>
        <v>33.627654320987652</v>
      </c>
      <c r="Y312">
        <f>(Table1[[#This Row],[orig_macs]]/Table1[[#This Row],[cycles]])*0.07</f>
        <v>56.636049382716052</v>
      </c>
      <c r="Z312">
        <f>(Table1[[#This Row],[Dense-Equivalent Throughput (GOPS)]] / IF(Table1[[#This Row],[config]]=0,144781,7618)) * 1000</f>
        <v>0.39118426715325944</v>
      </c>
      <c r="AA312">
        <f>(Table1[[#This Row],[Dense-Equivalent Throughput (GOPS)]] / 654.74 )/ IF(Table1[[#This Row],[config]]=0, 42381, 7618) * 10^9</f>
        <v>2041.0463998957939</v>
      </c>
      <c r="AB312">
        <f>IF(Table1[[#This Row],[config]]=0, 2860, 2210) * (Table1[[#This Row],[cycles]] / 70) / 1000</f>
        <v>3.3094285714285716</v>
      </c>
    </row>
    <row r="313" spans="1:28" x14ac:dyDescent="0.25">
      <c r="A313" t="s">
        <v>20</v>
      </c>
      <c r="B313" t="s">
        <v>25</v>
      </c>
      <c r="C313">
        <v>4</v>
      </c>
      <c r="D313">
        <v>6</v>
      </c>
      <c r="E313">
        <v>32</v>
      </c>
      <c r="F313">
        <v>32</v>
      </c>
      <c r="G313">
        <v>32</v>
      </c>
      <c r="H313">
        <v>32</v>
      </c>
      <c r="I313">
        <v>16</v>
      </c>
      <c r="J313">
        <v>32</v>
      </c>
      <c r="K313">
        <v>0</v>
      </c>
      <c r="L313">
        <v>32</v>
      </c>
      <c r="M313">
        <v>0.25</v>
      </c>
      <c r="N313">
        <v>65536</v>
      </c>
      <c r="O313">
        <v>32768</v>
      </c>
      <c r="P313">
        <v>0.5</v>
      </c>
      <c r="Q313">
        <v>78</v>
      </c>
      <c r="R313">
        <v>78.8</v>
      </c>
      <c r="S313" t="b">
        <v>1</v>
      </c>
      <c r="T313">
        <v>1.114285714</v>
      </c>
      <c r="U313">
        <v>311</v>
      </c>
      <c r="V313">
        <f>Table1[[#This Row],[orig_m]]+Table1[[#This Row],[orig_n]]+Table1[[#This Row],[orig_k]]-2</f>
        <v>94</v>
      </c>
      <c r="W313">
        <f>Table1[[#This Row],[Dense Baseline]]-Table1[[#This Row],[cycles]]</f>
        <v>16</v>
      </c>
      <c r="X313">
        <f>(Table1[[#This Row],[eff_macs]]/Table1[[#This Row],[cycles]])*0.07</f>
        <v>29.407179487179491</v>
      </c>
      <c r="Y313">
        <f>(Table1[[#This Row],[orig_macs]]/Table1[[#This Row],[cycles]])*0.07</f>
        <v>58.814358974358981</v>
      </c>
      <c r="Z313">
        <f>(Table1[[#This Row],[Dense-Equivalent Throughput (GOPS)]] / IF(Table1[[#This Row],[config]]=0,144781,7618)) * 1000</f>
        <v>0.40622981588992324</v>
      </c>
      <c r="AA313">
        <f>(Table1[[#This Row],[Dense-Equivalent Throughput (GOPS)]] / 654.74 )/ IF(Table1[[#This Row],[config]]=0, 42381, 7618) * 10^9</f>
        <v>2119.5481845071708</v>
      </c>
      <c r="AB313">
        <f>IF(Table1[[#This Row],[config]]=0, 2860, 2210) * (Table1[[#This Row],[cycles]] / 70) / 1000</f>
        <v>3.1868571428571433</v>
      </c>
    </row>
    <row r="314" spans="1:28" x14ac:dyDescent="0.25">
      <c r="A314" t="s">
        <v>20</v>
      </c>
      <c r="B314" t="s">
        <v>25</v>
      </c>
      <c r="C314">
        <v>4</v>
      </c>
      <c r="D314">
        <v>7</v>
      </c>
      <c r="E314">
        <v>32</v>
      </c>
      <c r="F314">
        <v>32</v>
      </c>
      <c r="G314">
        <v>32</v>
      </c>
      <c r="H314">
        <v>32</v>
      </c>
      <c r="I314">
        <v>19</v>
      </c>
      <c r="J314">
        <v>32</v>
      </c>
      <c r="K314">
        <v>0</v>
      </c>
      <c r="L314">
        <v>32</v>
      </c>
      <c r="M314">
        <v>0.2031</v>
      </c>
      <c r="N314">
        <v>65536</v>
      </c>
      <c r="O314">
        <v>38912</v>
      </c>
      <c r="P314">
        <v>0.40620000000000001</v>
      </c>
      <c r="Q314">
        <v>81</v>
      </c>
      <c r="R314">
        <v>43.9</v>
      </c>
      <c r="S314" t="b">
        <v>1</v>
      </c>
      <c r="T314">
        <v>1.157142857</v>
      </c>
      <c r="U314">
        <v>312</v>
      </c>
      <c r="V314">
        <f>Table1[[#This Row],[orig_m]]+Table1[[#This Row],[orig_n]]+Table1[[#This Row],[orig_k]]-2</f>
        <v>94</v>
      </c>
      <c r="W314">
        <f>Table1[[#This Row],[Dense Baseline]]-Table1[[#This Row],[cycles]]</f>
        <v>13</v>
      </c>
      <c r="X314">
        <f>(Table1[[#This Row],[eff_macs]]/Table1[[#This Row],[cycles]])*0.07</f>
        <v>33.627654320987652</v>
      </c>
      <c r="Y314">
        <f>(Table1[[#This Row],[orig_macs]]/Table1[[#This Row],[cycles]])*0.07</f>
        <v>56.636049382716052</v>
      </c>
      <c r="Z314">
        <f>(Table1[[#This Row],[Dense-Equivalent Throughput (GOPS)]] / IF(Table1[[#This Row],[config]]=0,144781,7618)) * 1000</f>
        <v>0.39118426715325944</v>
      </c>
      <c r="AA314">
        <f>(Table1[[#This Row],[Dense-Equivalent Throughput (GOPS)]] / 654.74 )/ IF(Table1[[#This Row],[config]]=0, 42381, 7618) * 10^9</f>
        <v>2041.0463998957939</v>
      </c>
      <c r="AB314">
        <f>IF(Table1[[#This Row],[config]]=0, 2860, 2210) * (Table1[[#This Row],[cycles]] / 70) / 1000</f>
        <v>3.3094285714285716</v>
      </c>
    </row>
    <row r="315" spans="1:28" x14ac:dyDescent="0.25">
      <c r="A315" t="s">
        <v>20</v>
      </c>
      <c r="B315" t="s">
        <v>25</v>
      </c>
      <c r="C315">
        <v>4</v>
      </c>
      <c r="D315">
        <v>8</v>
      </c>
      <c r="E315">
        <v>32</v>
      </c>
      <c r="F315">
        <v>32</v>
      </c>
      <c r="G315">
        <v>32</v>
      </c>
      <c r="H315">
        <v>32</v>
      </c>
      <c r="I315">
        <v>16</v>
      </c>
      <c r="J315">
        <v>32</v>
      </c>
      <c r="K315">
        <v>0</v>
      </c>
      <c r="L315">
        <v>32</v>
      </c>
      <c r="M315">
        <v>0.25</v>
      </c>
      <c r="N315">
        <v>65536</v>
      </c>
      <c r="O315">
        <v>32768</v>
      </c>
      <c r="P315">
        <v>0.5</v>
      </c>
      <c r="Q315">
        <v>78</v>
      </c>
      <c r="R315">
        <v>48.6</v>
      </c>
      <c r="S315" t="b">
        <v>1</v>
      </c>
      <c r="T315">
        <v>1.114285714</v>
      </c>
      <c r="U315">
        <v>313</v>
      </c>
      <c r="V315">
        <f>Table1[[#This Row],[orig_m]]+Table1[[#This Row],[orig_n]]+Table1[[#This Row],[orig_k]]-2</f>
        <v>94</v>
      </c>
      <c r="W315">
        <f>Table1[[#This Row],[Dense Baseline]]-Table1[[#This Row],[cycles]]</f>
        <v>16</v>
      </c>
      <c r="X315">
        <f>(Table1[[#This Row],[eff_macs]]/Table1[[#This Row],[cycles]])*0.07</f>
        <v>29.407179487179491</v>
      </c>
      <c r="Y315">
        <f>(Table1[[#This Row],[orig_macs]]/Table1[[#This Row],[cycles]])*0.07</f>
        <v>58.814358974358981</v>
      </c>
      <c r="Z315">
        <f>(Table1[[#This Row],[Dense-Equivalent Throughput (GOPS)]] / IF(Table1[[#This Row],[config]]=0,144781,7618)) * 1000</f>
        <v>0.40622981588992324</v>
      </c>
      <c r="AA315">
        <f>(Table1[[#This Row],[Dense-Equivalent Throughput (GOPS)]] / 654.74 )/ IF(Table1[[#This Row],[config]]=0, 42381, 7618) * 10^9</f>
        <v>2119.5481845071708</v>
      </c>
      <c r="AB315">
        <f>IF(Table1[[#This Row],[config]]=0, 2860, 2210) * (Table1[[#This Row],[cycles]] / 70) / 1000</f>
        <v>3.1868571428571433</v>
      </c>
    </row>
    <row r="316" spans="1:28" x14ac:dyDescent="0.25">
      <c r="A316" t="s">
        <v>20</v>
      </c>
      <c r="B316" t="s">
        <v>25</v>
      </c>
      <c r="C316">
        <v>4</v>
      </c>
      <c r="D316">
        <v>9</v>
      </c>
      <c r="E316">
        <v>32</v>
      </c>
      <c r="F316">
        <v>32</v>
      </c>
      <c r="G316">
        <v>32</v>
      </c>
      <c r="H316">
        <v>32</v>
      </c>
      <c r="I316">
        <v>19</v>
      </c>
      <c r="J316">
        <v>32</v>
      </c>
      <c r="K316">
        <v>0</v>
      </c>
      <c r="L316">
        <v>32</v>
      </c>
      <c r="M316">
        <v>0.2031</v>
      </c>
      <c r="N316">
        <v>65536</v>
      </c>
      <c r="O316">
        <v>38912</v>
      </c>
      <c r="P316">
        <v>0.40620000000000001</v>
      </c>
      <c r="Q316">
        <v>81</v>
      </c>
      <c r="R316">
        <v>46.8</v>
      </c>
      <c r="S316" t="b">
        <v>1</v>
      </c>
      <c r="T316">
        <v>1.157142857</v>
      </c>
      <c r="U316">
        <v>314</v>
      </c>
      <c r="V316">
        <f>Table1[[#This Row],[orig_m]]+Table1[[#This Row],[orig_n]]+Table1[[#This Row],[orig_k]]-2</f>
        <v>94</v>
      </c>
      <c r="W316">
        <f>Table1[[#This Row],[Dense Baseline]]-Table1[[#This Row],[cycles]]</f>
        <v>13</v>
      </c>
      <c r="X316">
        <f>(Table1[[#This Row],[eff_macs]]/Table1[[#This Row],[cycles]])*0.07</f>
        <v>33.627654320987652</v>
      </c>
      <c r="Y316">
        <f>(Table1[[#This Row],[orig_macs]]/Table1[[#This Row],[cycles]])*0.07</f>
        <v>56.636049382716052</v>
      </c>
      <c r="Z316">
        <f>(Table1[[#This Row],[Dense-Equivalent Throughput (GOPS)]] / IF(Table1[[#This Row],[config]]=0,144781,7618)) * 1000</f>
        <v>0.39118426715325944</v>
      </c>
      <c r="AA316">
        <f>(Table1[[#This Row],[Dense-Equivalent Throughput (GOPS)]] / 654.74 )/ IF(Table1[[#This Row],[config]]=0, 42381, 7618) * 10^9</f>
        <v>2041.0463998957939</v>
      </c>
      <c r="AB316">
        <f>IF(Table1[[#This Row],[config]]=0, 2860, 2210) * (Table1[[#This Row],[cycles]] / 70) / 1000</f>
        <v>3.3094285714285716</v>
      </c>
    </row>
    <row r="317" spans="1:28" x14ac:dyDescent="0.25">
      <c r="A317" t="s">
        <v>20</v>
      </c>
      <c r="B317" t="s">
        <v>25</v>
      </c>
      <c r="C317">
        <v>4</v>
      </c>
      <c r="D317">
        <v>10</v>
      </c>
      <c r="E317">
        <v>32</v>
      </c>
      <c r="F317">
        <v>32</v>
      </c>
      <c r="G317">
        <v>32</v>
      </c>
      <c r="H317">
        <v>32</v>
      </c>
      <c r="I317">
        <v>16</v>
      </c>
      <c r="J317">
        <v>32</v>
      </c>
      <c r="K317">
        <v>0</v>
      </c>
      <c r="L317">
        <v>32</v>
      </c>
      <c r="M317">
        <v>0.25</v>
      </c>
      <c r="N317">
        <v>65536</v>
      </c>
      <c r="O317">
        <v>32768</v>
      </c>
      <c r="P317">
        <v>0.5</v>
      </c>
      <c r="Q317">
        <v>78</v>
      </c>
      <c r="R317">
        <v>50</v>
      </c>
      <c r="S317" t="b">
        <v>1</v>
      </c>
      <c r="T317">
        <v>1.114285714</v>
      </c>
      <c r="U317">
        <v>315</v>
      </c>
      <c r="V317">
        <f>Table1[[#This Row],[orig_m]]+Table1[[#This Row],[orig_n]]+Table1[[#This Row],[orig_k]]-2</f>
        <v>94</v>
      </c>
      <c r="W317">
        <f>Table1[[#This Row],[Dense Baseline]]-Table1[[#This Row],[cycles]]</f>
        <v>16</v>
      </c>
      <c r="X317">
        <f>(Table1[[#This Row],[eff_macs]]/Table1[[#This Row],[cycles]])*0.07</f>
        <v>29.407179487179491</v>
      </c>
      <c r="Y317">
        <f>(Table1[[#This Row],[orig_macs]]/Table1[[#This Row],[cycles]])*0.07</f>
        <v>58.814358974358981</v>
      </c>
      <c r="Z317">
        <f>(Table1[[#This Row],[Dense-Equivalent Throughput (GOPS)]] / IF(Table1[[#This Row],[config]]=0,144781,7618)) * 1000</f>
        <v>0.40622981588992324</v>
      </c>
      <c r="AA317">
        <f>(Table1[[#This Row],[Dense-Equivalent Throughput (GOPS)]] / 654.74 )/ IF(Table1[[#This Row],[config]]=0, 42381, 7618) * 10^9</f>
        <v>2119.5481845071708</v>
      </c>
      <c r="AB317">
        <f>IF(Table1[[#This Row],[config]]=0, 2860, 2210) * (Table1[[#This Row],[cycles]] / 70) / 1000</f>
        <v>3.1868571428571433</v>
      </c>
    </row>
    <row r="318" spans="1:28" x14ac:dyDescent="0.25">
      <c r="A318" t="s">
        <v>20</v>
      </c>
      <c r="B318" t="s">
        <v>25</v>
      </c>
      <c r="C318">
        <v>4</v>
      </c>
      <c r="D318">
        <v>11</v>
      </c>
      <c r="E318">
        <v>9</v>
      </c>
      <c r="F318">
        <v>32</v>
      </c>
      <c r="G318">
        <v>32</v>
      </c>
      <c r="H318">
        <v>9</v>
      </c>
      <c r="I318">
        <v>19</v>
      </c>
      <c r="J318">
        <v>32</v>
      </c>
      <c r="K318">
        <v>0</v>
      </c>
      <c r="L318">
        <v>32</v>
      </c>
      <c r="M318">
        <v>0.31709999999999999</v>
      </c>
      <c r="N318">
        <v>18432</v>
      </c>
      <c r="O318">
        <v>10944</v>
      </c>
      <c r="P318">
        <v>0.40620000000000001</v>
      </c>
      <c r="Q318">
        <v>58</v>
      </c>
      <c r="R318">
        <v>18.7</v>
      </c>
      <c r="S318" t="b">
        <v>1</v>
      </c>
      <c r="T318">
        <v>0.82857142900000003</v>
      </c>
      <c r="U318">
        <v>316</v>
      </c>
      <c r="V318">
        <f>Table1[[#This Row],[orig_m]]+Table1[[#This Row],[orig_n]]+Table1[[#This Row],[orig_k]]-2</f>
        <v>71</v>
      </c>
      <c r="W318">
        <f>Table1[[#This Row],[Dense Baseline]]-Table1[[#This Row],[cycles]]</f>
        <v>13</v>
      </c>
      <c r="X318">
        <f>(Table1[[#This Row],[eff_macs]]/Table1[[#This Row],[cycles]])*0.07</f>
        <v>13.208275862068966</v>
      </c>
      <c r="Y318">
        <f>(Table1[[#This Row],[orig_macs]]/Table1[[#This Row],[cycles]])*0.07</f>
        <v>22.245517241379314</v>
      </c>
      <c r="Z318">
        <f>(Table1[[#This Row],[Dense-Equivalent Throughput (GOPS)]] / IF(Table1[[#This Row],[config]]=0,144781,7618)) * 1000</f>
        <v>0.15364942389802055</v>
      </c>
      <c r="AA318">
        <f>(Table1[[#This Row],[Dense-Equivalent Throughput (GOPS)]] / 654.74 )/ IF(Table1[[#This Row],[config]]=0, 42381, 7618) * 10^9</f>
        <v>801.68255685562178</v>
      </c>
      <c r="AB318">
        <f>IF(Table1[[#This Row],[config]]=0, 2860, 2210) * (Table1[[#This Row],[cycles]] / 70) / 1000</f>
        <v>2.3697142857142857</v>
      </c>
    </row>
    <row r="319" spans="1:28" x14ac:dyDescent="0.25">
      <c r="A319" t="s">
        <v>20</v>
      </c>
      <c r="B319" t="s">
        <v>25</v>
      </c>
      <c r="C319">
        <v>4</v>
      </c>
      <c r="D319">
        <v>12</v>
      </c>
      <c r="E319">
        <v>9</v>
      </c>
      <c r="F319">
        <v>32</v>
      </c>
      <c r="G319">
        <v>32</v>
      </c>
      <c r="H319">
        <v>9</v>
      </c>
      <c r="I319">
        <v>16</v>
      </c>
      <c r="J319">
        <v>32</v>
      </c>
      <c r="K319">
        <v>1</v>
      </c>
      <c r="L319">
        <v>16</v>
      </c>
      <c r="M319">
        <v>0.39019999999999999</v>
      </c>
      <c r="N319">
        <v>18432</v>
      </c>
      <c r="O319">
        <v>9216</v>
      </c>
      <c r="P319">
        <v>0.5</v>
      </c>
      <c r="Q319">
        <v>55</v>
      </c>
      <c r="R319">
        <v>58.5</v>
      </c>
      <c r="S319" t="b">
        <v>0</v>
      </c>
      <c r="T319">
        <v>0.78571428600000004</v>
      </c>
      <c r="U319">
        <v>317</v>
      </c>
      <c r="V319">
        <f>Table1[[#This Row],[orig_m]]+Table1[[#This Row],[orig_n]]+Table1[[#This Row],[orig_k]]-2</f>
        <v>71</v>
      </c>
      <c r="W319">
        <f>Table1[[#This Row],[Dense Baseline]]-Table1[[#This Row],[cycles]]</f>
        <v>16</v>
      </c>
      <c r="X319">
        <f>(Table1[[#This Row],[eff_macs]]/Table1[[#This Row],[cycles]])*0.07</f>
        <v>11.729454545454546</v>
      </c>
      <c r="Y319">
        <f>(Table1[[#This Row],[orig_macs]]/Table1[[#This Row],[cycles]])*0.07</f>
        <v>23.458909090909092</v>
      </c>
      <c r="Z319">
        <f>(Table1[[#This Row],[Dense-Equivalent Throughput (GOPS)]] / IF(Table1[[#This Row],[config]]=0,144781,7618)) * 1000</f>
        <v>3.0794052364018234</v>
      </c>
      <c r="AA319">
        <f>(Table1[[#This Row],[Dense-Equivalent Throughput (GOPS)]] / 654.74 )/ IF(Table1[[#This Row],[config]]=0, 42381, 7618) * 10^9</f>
        <v>4703.2489788340772</v>
      </c>
      <c r="AB319">
        <f>IF(Table1[[#This Row],[config]]=0, 2860, 2210) * (Table1[[#This Row],[cycles]] / 70) / 1000</f>
        <v>1.7364285714285714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Sheet6</vt:lpstr>
      <vt:lpstr>Sheet1</vt:lpstr>
      <vt:lpstr>Sheet3</vt:lpstr>
      <vt:lpstr>Sheet4</vt:lpstr>
      <vt:lpstr>results_alexnet_pruned45_cat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Pratham Chhabra</cp:lastModifiedBy>
  <dcterms:created xsi:type="dcterms:W3CDTF">2026-03-20T07:54:34Z</dcterms:created>
  <dcterms:modified xsi:type="dcterms:W3CDTF">2026-04-03T18:22:33Z</dcterms:modified>
</cp:coreProperties>
</file>